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ace0fd971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い方" sheetId="1" r:id="R74ba5bfab1414db2"/>
    <x:sheet xmlns:r="http://schemas.openxmlformats.org/officeDocument/2006/relationships" name="サマリー" sheetId="2" r:id="Ra66fcc30122d40c5"/>
    <x:sheet xmlns:r="http://schemas.openxmlformats.org/officeDocument/2006/relationships" name="品質チェック" sheetId="3" r:id="R8a20d76407414b00"/>
    <x:sheet xmlns:r="http://schemas.openxmlformats.org/officeDocument/2006/relationships" name="候補10件" sheetId="4" r:id="R79f90796ff284bff"/>
    <x:sheet xmlns:r="http://schemas.openxmlformats.org/officeDocument/2006/relationships" name="改善ログ" sheetId="5" r:id="R3dd39c4198ce4459"/>
  </x:sheets>
</x:workbook>
</file>

<file path=xl/sharedStrings.xml><?xml version="1.0" encoding="utf-8"?>
<x:sst xmlns:x="http://schemas.openxmlformats.org/spreadsheetml/2006/main">
  <x:si>
    <x:t xml:space="preserve">5sec-tools 品質チェックブック</x:t>
  </x:si>
  <x:si>
    <x:t xml:space="preserve">目的</x:t>
  </x:si>
  <x:si>
    <x:t xml:space="preserve">各ツールが初見・急ぎ・スマホでも5秒以内に使えるかを記録する</x:t>
  </x:si>
  <x:si>
    <x:t xml:space="preserve">使う順番</x:t>
  </x:si>
  <x:si>
    <x:t xml:space="preserve">①品質チェック → ②問題があれば改善ログ → ③再テスト → ④総合判定</x:t>
  </x:si>
  <x:si>
    <x:t xml:space="preserve">判定の入力</x:t>
  </x:si>
  <x:si>
    <x:t xml:space="preserve">未確認 / 合格 / 要修正 の3択から選ぶ。自由記述はメモ欄へ</x:t>
  </x:si>
  <x:si>
    <x:t xml:space="preserve">5秒以内</x:t>
  </x:si>
  <x:si>
    <x:t xml:space="preserve">初見ユーザーが説明なしで結果に到達できるかを実測する</x:t>
  </x:si>
  <x:si>
    <x:t xml:space="preserve">合格の目安</x:t>
  </x:si>
  <x:si>
    <x:t xml:space="preserve">必須項目が合格し、重大な要修正がなく、主要ケースで計算が正しい</x:t>
  </x:si>
  <x:si>
    <x:t xml:space="preserve">候補10件</x:t>
  </x:si>
  <x:si>
    <x:t xml:space="preserve">候補10件シートを確認し、採用 / 保留 / 却下を入力する。承認前は実装しない</x:t>
  </x:si>
  <x:si>
    <x:t xml:space="preserve">作成日</x:t>
  </x:si>
  <x:si>
    <x:t xml:space="preserve">チェック時の共通ルール</x:t>
  </x:si>
  <x:si>
    <x:t xml:space="preserve">観点</x:t>
  </x:si>
  <x:si>
    <x:t xml:space="preserve">見ること</x:t>
  </x:si>
  <x:si>
    <x:t xml:space="preserve">合格例</x:t>
  </x:si>
  <x:si>
    <x:t xml:space="preserve">要修正例</x:t>
  </x:si>
  <x:si>
    <x:t xml:space="preserve">記録先</x:t>
  </x:si>
  <x:si>
    <x:t xml:space="preserve">備考</x:t>
  </x:si>
  <x:si>
    <x:t xml:space="preserve">理解</x:t>
  </x:si>
  <x:si>
    <x:t xml:space="preserve">タイトルだけで用途が分かる</x:t>
  </x:si>
  <x:si>
    <x:t xml:space="preserve">入力と結果の関係が明確</x:t>
  </x:si>
  <x:si>
    <x:t xml:space="preserve">説明を読まないと使えない</x:t>
  </x:si>
  <x:si>
    <x:t xml:space="preserve">品質チェック</x:t>
  </x:si>
  <x:si>
    <x:t xml:space="preserve">操作</x:t>
  </x:si>
  <x:si>
    <x:t xml:space="preserve">入力方法が目的に合う</x:t>
  </x:si>
  <x:si>
    <x:t xml:space="preserve">直接入力・タップが自然</x:t>
  </x:si>
  <x:si>
    <x:t xml:space="preserve">不必要なselectやクリックがある</x:t>
  </x:si>
  <x:si>
    <x:t xml:space="preserve">結果</x:t>
  </x:si>
  <x:si>
    <x:t xml:space="preserve">結果がすぐ見えて再利用できる</x:t>
  </x:si>
  <x:si>
    <x:t xml:space="preserve">自動更新・コピー可能</x:t>
  </x:si>
  <x:si>
    <x:t xml:space="preserve">結果が下に隠れる/コピー不可</x:t>
  </x:si>
  <x:si>
    <x:t xml:space="preserve">品質チェック サマリー</x:t>
  </x:si>
  <x:si>
    <x:t xml:space="preserve">対象</x:t>
  </x:si>
  <x:si>
    <x:t xml:space="preserve">値</x:t>
  </x:si>
  <x:si>
    <x:t xml:space="preserve">候補審査</x:t>
  </x:si>
  <x:si>
    <x:t xml:space="preserve">件数</x:t>
  </x:si>
  <x:si>
    <x:t xml:space="preserve">意味</x:t>
  </x:si>
  <x:si>
    <x:t xml:space="preserve">既存ツール数</x:t>
  </x:si>
  <x:si>
    <x:t xml:space="preserve">審査待ち</x:t>
  </x:si>
  <x:si>
    <x:t xml:space="preserve">ユーザー確認が必要</x:t>
  </x:si>
  <x:si>
    <x:t xml:space="preserve">合格</x:t>
  </x:si>
  <x:si>
    <x:t xml:space="preserve">採用</x:t>
  </x:si>
  <x:si>
    <x:t xml:space="preserve">実装候補</x:t>
  </x:si>
  <x:si>
    <x:t xml:space="preserve">要修正</x:t>
  </x:si>
  <x:si>
    <x:t xml:space="preserve">保留・却下</x:t>
  </x:si>
  <x:si>
    <x:t xml:space="preserve">今回は実装しない</x:t>
  </x:si>
  <x:si>
    <x:t xml:space="preserve">未確認</x:t>
  </x:si>
  <x:si>
    <x:t xml:space="preserve">候補ツール数</x:t>
  </x:si>
  <x:si>
    <x:t xml:space="preserve">入力のコツ：まず未確認で埋め、実測した項目だけ合格/要修正に変更してください。総合判定は手入力で確定します。</x:t>
  </x:si>
  <x:si>
    <x:t xml:space="preserve">既存ツール 品質チェック</x:t>
  </x:si>
  <x:si>
    <x:t xml:space="preserve">ID</x:t>
  </x:si>
  <x:si>
    <x:t xml:space="preserve">ツール名</x:t>
  </x:si>
  <x:si>
    <x:t xml:space="preserve">対象URL</x:t>
  </x:si>
  <x:si>
    <x:t xml:space="preserve">用途理解</x:t>
  </x:si>
  <x:si>
    <x:t xml:space="preserve">入力自然</x:t>
  </x:si>
  <x:si>
    <x:t xml:space="preserve">デフォルト</x:t>
  </x:si>
  <x:si>
    <x:t xml:space="preserve">プリセット</x:t>
  </x:si>
  <x:si>
    <x:t xml:space="preserve">自動更新</x:t>
  </x:si>
  <x:si>
    <x:t xml:space="preserve">結果が先</x:t>
  </x:si>
  <x:si>
    <x:t xml:space="preserve">エラー具体性</x:t>
  </x:si>
  <x:si>
    <x:t xml:space="preserve">モバイル</x:t>
  </x:si>
  <x:si>
    <x:t xml:space="preserve">数字入力</x:t>
  </x:si>
  <x:si>
    <x:t xml:space="preserve">キーボード</x:t>
  </x:si>
  <x:si>
    <x:t xml:space="preserve">コピー</x:t>
  </x:si>
  <x:si>
    <x:t xml:space="preserve">リセット</x:t>
  </x:si>
  <x:si>
    <x:t xml:space="preserve">共有/保持</x:t>
  </x:si>
  <x:si>
    <x:t xml:space="preserve">主な問題</x:t>
  </x:si>
  <x:si>
    <x:t xml:space="preserve">総合判定</x:t>
  </x:si>
  <x:si>
    <x:t xml:space="preserve">メモ</x:t>
  </x:si>
  <x:si>
    <x:t xml:space="preserve">T01</x:t>
  </x:si>
  <x:si>
    <x:t xml:space="preserve">日付＋日数</x:t>
  </x:si>
  <x:si>
    <x:t xml:space="preserve">https://5sec-tools.pages.dev/tools/date-after/</x:t>
  </x:si>
  <x:si>
    <x:t xml:space="preserve">T02</x:t>
  </x:si>
  <x:si>
    <x:t xml:space="preserve">日付ー日数</x:t>
  </x:si>
  <x:si>
    <x:t xml:space="preserve">https://5sec-tools.pages.dev/tools/date-before/</x:t>
  </x:si>
  <x:si>
    <x:t xml:space="preserve">T03</x:t>
  </x:si>
  <x:si>
    <x:t xml:space="preserve">2つの日付の差</x:t>
  </x:si>
  <x:si>
    <x:t xml:space="preserve">https://5sec-tools.pages.dev/tools/date-difference/</x:t>
  </x:si>
  <x:si>
    <x:t xml:space="preserve">T04</x:t>
  </x:si>
  <x:si>
    <x:t xml:space="preserve">動画を倍速で見ると何分？</x:t>
  </x:si>
  <x:si>
    <x:t xml:space="preserve">https://5sec-tools.pages.dev/tools/video-speed/</x:t>
  </x:si>
  <x:si>
    <x:t xml:space="preserve">T05</x:t>
  </x:si>
  <x:si>
    <x:t xml:space="preserve">割引計算</x:t>
  </x:si>
  <x:si>
    <x:t xml:space="preserve">https://5sec-tools.pages.dev/tools/discount/</x:t>
  </x:si>
  <x:si>
    <x:t xml:space="preserve">T06</x:t>
  </x:si>
  <x:si>
    <x:t xml:space="preserve">パーセント計算</x:t>
  </x:si>
  <x:si>
    <x:t xml:space="preserve">https://5sec-tools.pages.dev/tools/percentage/</x:t>
  </x:si>
  <x:si>
    <x:t xml:space="preserve">T07</x:t>
  </x:si>
  <x:si>
    <x:t xml:space="preserve">どっちがお得？単価比較</x:t>
  </x:si>
  <x:si>
    <x:t xml:space="preserve">https://5sec-tools.pages.dev/tools/unit-price/</x:t>
  </x:si>
  <x:si>
    <x:t xml:space="preserve">T08</x:t>
  </x:si>
  <x:si>
    <x:t xml:space="preserve">時給から月収</x:t>
  </x:si>
  <x:si>
    <x:t xml:space="preserve">https://5sec-tools.pages.dev/tools/hourly-monthly/</x:t>
  </x:si>
  <x:si>
    <x:t xml:space="preserve">T09</x:t>
  </x:si>
  <x:si>
    <x:t xml:space="preserve">文字数カウント</x:t>
  </x:si>
  <x:si>
    <x:t xml:space="preserve">https://5sec-tools.pages.dev/tools/character-count/</x:t>
  </x:si>
  <x:si>
    <x:t xml:space="preserve">T10</x:t>
  </x:si>
  <x:si>
    <x:t xml:space="preserve">ランダム抽選</x:t>
  </x:si>
  <x:si>
    <x:t xml:space="preserve">https://5sec-tools.pages.dev/tools/random-picker/</x:t>
  </x:si>
  <x:si>
    <x:t xml:space="preserve">T11</x:t>
  </x:si>
  <x:si>
    <x:t xml:space="preserve">画像ファイル形式変換</x:t>
  </x:si>
  <x:si>
    <x:t xml:space="preserve">https://5sec-tools.pages.dev/tools/image-converter/</x:t>
  </x:si>
  <x:si>
    <x:t xml:space="preserve">T12</x:t>
  </x:si>
  <x:si>
    <x:t xml:space="preserve">画像トリミング</x:t>
  </x:si>
  <x:si>
    <x:t xml:space="preserve">https://5sec-tools.pages.dev/tools/image-crop/</x:t>
  </x:si>
  <x:si>
    <x:t xml:space="preserve">追加-06</x:t>
  </x:si>
  <x:si>
    <x:t xml:space="preserve">追加ツール（未登録）</x:t>
  </x:si>
  <x:si>
    <x:t xml:space="preserve">追加-07</x:t>
  </x:si>
  <x:si>
    <x:t xml:space="preserve">追加-08</x:t>
  </x:si>
  <x:si>
    <x:t xml:space="preserve">追加候補10件（審査用）</x:t>
  </x:si>
  <x:si>
    <x:t xml:space="preserve">ここにある候補はまだ実装しません。J列で 1＝採用、2＝保留、3＝却下 を選んでください。</x:t>
  </x:si>
  <x:si>
    <x:t xml:space="preserve">候補ID</x:t>
  </x:si>
  <x:si>
    <x:t xml:space="preserve">名称</x:t>
  </x:si>
  <x:si>
    <x:t xml:space="preserve">用途</x:t>
  </x:si>
  <x:si>
    <x:t xml:space="preserve">入力</x:t>
  </x:si>
  <x:si>
    <x:t xml:space="preserve">出力</x:t>
  </x:si>
  <x:si>
    <x:t xml:space="preserve">最短UI案</x:t>
  </x:si>
  <x:si>
    <x:t xml:space="preserve">期待効果</x:t>
  </x:si>
  <x:si>
    <x:t xml:space="preserve">実装リスク</x:t>
  </x:si>
  <x:si>
    <x:t xml:space="preserve">優先度</x:t>
  </x:si>
  <x:si>
    <x:t xml:space="preserve">審査（1/2/3）</x:t>
  </x:si>
  <x:si>
    <x:t xml:space="preserve">P01</x:t>
  </x:si>
  <x:si>
    <x:t xml:space="preserve">QRコード生成</x:t>
  </x:si>
  <x:si>
    <x:t xml:space="preserve">URLや短文をQR画像にする</x:t>
  </x:si>
  <x:si>
    <x:t xml:space="preserve">URL/短文</x:t>
  </x:si>
  <x:si>
    <x:t xml:space="preserve">PNG/SVG</x:t>
  </x:si>
  <x:si>
    <x:t xml:space="preserve">入力→即時プレビュー→保存</x:t>
  </x:si>
  <x:si>
    <x:t xml:space="preserve">共有が速い</x:t>
  </x:si>
  <x:si>
    <x:t xml:space="preserve">低</x:t>
  </x:si>
  <x:si>
    <x:t xml:space="preserve">高</x:t>
  </x:si>
  <x:si>
    <x:t xml:space="preserve">P02</x:t>
  </x:si>
  <x:si>
    <x:t xml:space="preserve">パスワード生成</x:t>
  </x:si>
  <x:si>
    <x:t xml:space="preserve">安全な文字列をすぐ作る</x:t>
  </x:si>
  <x:si>
    <x:t xml:space="preserve">長さ・文字種</x:t>
  </x:si>
  <x:si>
    <x:t xml:space="preserve">パスワード</x:t>
  </x:si>
  <x:si>
    <x:t xml:space="preserve">プリセット＋生成＋コピー</x:t>
  </x:si>
  <x:si>
    <x:t xml:space="preserve">日常利用が多い</x:t>
  </x:si>
  <x:si>
    <x:t xml:space="preserve">大文字使用、記号不使用などオプションに耐えるように</x:t>
  </x:si>
  <x:si>
    <x:t xml:space="preserve">P03</x:t>
  </x:si>
  <x:si>
    <x:t xml:space="preserve">UUID生成</x:t>
  </x:si>
  <x:si>
    <x:t xml:space="preserve">一意なIDを作る</x:t>
  </x:si>
  <x:si>
    <x:t xml:space="preserve">個数・形式</x:t>
  </x:si>
  <x:si>
    <x:t xml:space="preserve">UUID一覧</x:t>
  </x:si>
  <x:si>
    <x:t xml:space="preserve">個数入力＋生成＋一括コピー</x:t>
  </x:si>
  <x:si>
    <x:t xml:space="preserve">開発用途に強い</x:t>
  </x:si>
  <x:si>
    <x:t xml:space="preserve">中</x:t>
  </x:si>
  <x:si>
    <x:t xml:space="preserve">P04</x:t>
  </x:si>
  <x:si>
    <x:t xml:space="preserve">JSON整形・検証</x:t>
  </x:si>
  <x:si>
    <x:t xml:space="preserve">JSONを読みやすく整えエラー確認</x:t>
  </x:si>
  <x:si>
    <x:t xml:space="preserve">JSON本文</x:t>
  </x:si>
  <x:si>
    <x:t xml:space="preserve">整形済みJSON/エラー</x:t>
  </x:si>
  <x:si>
    <x:t xml:space="preserve">貼付→即時整形→コピー</x:t>
  </x:si>
  <x:si>
    <x:t xml:space="preserve">開発者の時短</x:t>
  </x:si>
  <x:si>
    <x:t xml:space="preserve">P05</x:t>
  </x:si>
  <x:si>
    <x:t xml:space="preserve">Base64変換</x:t>
  </x:si>
  <x:si>
    <x:t xml:space="preserve">文字列をBase64へ相互変換</x:t>
  </x:si>
  <x:si>
    <x:t xml:space="preserve">文字列/Base64</x:t>
  </x:si>
  <x:si>
    <x:t xml:space="preserve">変換結果</x:t>
  </x:si>
  <x:si>
    <x:t xml:space="preserve">入力欄切替＋即時結果</x:t>
  </x:si>
  <x:si>
    <x:t xml:space="preserve">変換需要が明確</x:t>
  </x:si>
  <x:si>
    <x:t xml:space="preserve">P06</x:t>
  </x:si>
  <x:si>
    <x:t xml:space="preserve">URLエンコード・デコード</x:t>
  </x:si>
  <x:si>
    <x:t xml:space="preserve">URL用文字列を安全に変換</x:t>
  </x:si>
  <x:si>
    <x:t xml:space="preserve">文字列/URL</x:t>
  </x:si>
  <x:si>
    <x:t xml:space="preserve">モード切替＋コピー</x:t>
  </x:si>
  <x:si>
    <x:t xml:space="preserve">入力ミスを減らす</x:t>
  </x:si>
  <x:si>
    <x:t xml:space="preserve">P07</x:t>
  </x:si>
  <x:si>
    <x:t xml:space="preserve">カラーコード変換</x:t>
  </x:si>
  <x:si>
    <x:t xml:space="preserve">HEX/RGB/HSLを相互変換</x:t>
  </x:si>
  <x:si>
    <x:t xml:space="preserve">色コード/カラーピッカー</x:t>
  </x:si>
  <x:si>
    <x:t xml:space="preserve">各形式・色見本</x:t>
  </x:si>
  <x:si>
    <x:t xml:space="preserve">色入力→即時変換</x:t>
  </x:si>
  <x:si>
    <x:t xml:space="preserve">デザイン作業に便利</x:t>
  </x:si>
  <x:si>
    <x:t xml:space="preserve">よくわからない</x:t>
  </x:si>
  <x:si>
    <x:t xml:space="preserve">P08</x:t>
  </x:si>
  <x:si>
    <x:t xml:space="preserve">画像リサイズ</x:t>
  </x:si>
  <x:si>
    <x:t xml:space="preserve">画像の幅・高さを変更</x:t>
  </x:si>
  <x:si>
    <x:t xml:space="preserve">画像・幅/高さ</x:t>
  </x:si>
  <x:si>
    <x:t xml:space="preserve">リサイズ画像</x:t>
  </x:si>
  <x:si>
    <x:t xml:space="preserve">画像選択→幅入力→保存</x:t>
  </x:si>
  <x:si>
    <x:t xml:space="preserve">既存画像ツールと相性が良い</x:t>
  </x:si>
  <x:si>
    <x:t xml:space="preserve">P09</x:t>
  </x:si>
  <x:si>
    <x:t xml:space="preserve">文字列一括置換</x:t>
  </x:si>
  <x:si>
    <x:t xml:space="preserve">文章内の語句をまとめて置換</x:t>
  </x:si>
  <x:si>
    <x:t xml:space="preserve">本文・検索語・置換語</x:t>
  </x:si>
  <x:si>
    <x:t xml:space="preserve">置換済み本文</x:t>
  </x:si>
  <x:si>
    <x:t xml:space="preserve">3欄＋即時プレビュー</x:t>
  </x:si>
  <x:si>
    <x:t xml:space="preserve">文章作業が速い</x:t>
  </x:si>
  <x:si>
    <x:t xml:space="preserve">P10</x:t>
  </x:si>
  <x:si>
    <x:t xml:space="preserve">CSV/TSV変換</x:t>
  </x:si>
  <x:si>
    <x:t xml:space="preserve">区切り形式を相互変換</x:t>
  </x:si>
  <x:si>
    <x:t xml:space="preserve">表形式テキスト</x:t>
  </x:si>
  <x:si>
    <x:t xml:space="preserve">変換済みテキスト</x:t>
  </x:si>
  <x:si>
    <x:t xml:space="preserve">貼付→形式選択→コピー</x:t>
  </x:si>
  <x:si>
    <x:t xml:space="preserve">データ整理に便利</x:t>
  </x:si>
  <x:si>
    <x:t xml:space="preserve">必要性はわからない</x:t>
  </x:si>
  <x:si>
    <x:t xml:space="preserve">改善ログ</x:t>
  </x:si>
  <x:si>
    <x:t xml:space="preserve">日付</x:t>
  </x:si>
  <x:si>
    <x:t xml:space="preserve">対象ID</x:t>
  </x:si>
  <x:si>
    <x:t xml:space="preserve">問題</x:t>
  </x:si>
  <x:si>
    <x:t xml:space="preserve">重要度</x:t>
  </x:si>
  <x:si>
    <x:t xml:space="preserve">修正内容</x:t>
  </x:si>
  <x:si>
    <x:t xml:space="preserve">再テスト結果</x:t>
  </x:si>
  <x:si>
    <x:t xml:space="preserve">担当</x:t>
  </x:si>
  <x:si>
    <x:t xml:space="preserve">ステータス</x:t>
  </x:si>
  <x:si>
    <x:t xml:space="preserve">関連URL</x:t>
  </x:si>
  <x:si>
    <x:t xml:space="preserve">未対応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</x:si>
</x:sst>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sz val="11"/>
      <x:color rgb="FF667085"/>
      <x:name val="Carlito"/>
    </x:font>
    <x:font>
      <x:sz val="11"/>
      <x:color rgb="FF2563EB"/>
      <x:name val="Carlito"/>
    </x:font>
    <x:font>
      <x:b/>
      <x:sz val="11"/>
      <x:color rgb="FF7A4E00"/>
      <x:name val="Carlito"/>
    </x:font>
    <x:font>
      <x:sz val="11"/>
      <x:name val="Carlito"/>
    </x:font>
    <x:font>
      <x:sz val="6"/>
      <x:name val="ＭＳ Ｐゴシック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F5F8FB"/>
      </x:patternFill>
    </x:fill>
    <x:fill>
      <x:patternFill patternType="solid">
        <x:fgColor rgb="FFFEF3C7"/>
      </x:patternFill>
    </x:fill>
  </x:fills>
  <x:borders count="14">
    <x:border/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2">
    <x:xf numFmtId="0" fontId="0" fillId="0" borderId="0"/>
    <x:xf numFmtId="0" fontId="6" fillId="0" borderId="0"/>
  </x:cellStyleXfs>
  <x:cellXfs count="31">
    <x:xf numFmtId="0" fontId="0" fillId="0" borderId="0" xfId="0"/>
    <x:xf numFmtId="0" fontId="2" fillId="3" borderId="1" xfId="1" applyFont="1" applyFill="1" applyBorder="1" applyAlignment="1">
      <x:alignment wrapText="1"/>
    </x:xf>
    <x:xf numFmtId="0" fontId="2" fillId="3" borderId="2" xfId="1" applyFont="1" applyFill="1" applyBorder="1" applyAlignment="1">
      <x:alignment wrapText="1"/>
    </x:xf>
    <x:xf numFmtId="0" fontId="2" fillId="3" borderId="3" xfId="1" applyFont="1" applyFill="1" applyBorder="1" applyAlignment="1">
      <x:alignment wrapText="1"/>
    </x:xf>
    <x:xf numFmtId="0" fontId="0" fillId="4" borderId="4" xfId="1" applyFont="1" applyFill="1" applyBorder="1" applyAlignment="1">
      <x:alignment wrapText="1"/>
    </x:xf>
    <x:xf numFmtId="0" fontId="0" fillId="4" borderId="5" xfId="1" applyFont="1" applyFill="1" applyBorder="1" applyAlignment="1">
      <x:alignment wrapText="1"/>
    </x:xf>
    <x:xf numFmtId="176" fontId="0" fillId="4" borderId="6" xfId="1" applyNumberFormat="1" applyFont="1" applyFill="1" applyBorder="1" applyAlignment="1">
      <x:alignment wrapText="1"/>
    </x:xf>
    <x:xf numFmtId="0" fontId="2" fillId="3" borderId="7" xfId="1" applyFont="1" applyFill="1" applyBorder="1" applyAlignment="1">
      <x:alignment wrapText="1"/>
    </x:xf>
    <x:xf numFmtId="0" fontId="2" fillId="3" borderId="5" xfId="1" applyFont="1" applyFill="1" applyBorder="1" applyAlignment="1">
      <x:alignment wrapText="1"/>
    </x:xf>
    <x:xf numFmtId="0" fontId="2" fillId="3" borderId="8" xfId="1" applyFont="1" applyFill="1" applyBorder="1" applyAlignment="1">
      <x:alignment wrapText="1"/>
    </x:xf>
    <x:xf numFmtId="0" fontId="0" fillId="4" borderId="9" xfId="1" applyFont="1" applyFill="1" applyBorder="1" applyAlignment="1">
      <x:alignment wrapText="1"/>
    </x:xf>
    <x:xf numFmtId="0" fontId="0" fillId="4" borderId="3" xfId="1" applyFont="1" applyFill="1" applyBorder="1" applyAlignment="1">
      <x:alignment wrapText="1"/>
    </x:xf>
    <x:xf numFmtId="0" fontId="0" fillId="4" borderId="10" xfId="1" applyFont="1" applyFill="1" applyBorder="1" applyAlignment="1">
      <x:alignment wrapText="1"/>
    </x:xf>
    <x:xf numFmtId="0" fontId="0" fillId="4" borderId="8" xfId="1" applyFont="1" applyFill="1" applyBorder="1" applyAlignment="1">
      <x:alignment wrapText="1"/>
    </x:xf>
    <x:xf numFmtId="0" fontId="0" fillId="4" borderId="11" xfId="1" applyFont="1" applyFill="1" applyBorder="1" applyAlignment="1">
      <x:alignment wrapText="1"/>
    </x:xf>
    <x:xf numFmtId="0" fontId="0" fillId="4" borderId="7" xfId="1" applyFont="1" applyFill="1" applyBorder="1" applyAlignment="1">
      <x:alignment wrapText="1"/>
    </x:xf>
    <x:xf numFmtId="0" fontId="0" fillId="4" borderId="12" xfId="1" applyFont="1" applyFill="1" applyBorder="1" applyAlignment="1">
      <x:alignment wrapText="1"/>
    </x:xf>
    <x:xf numFmtId="0" fontId="0" fillId="4" borderId="1" xfId="1" applyFont="1" applyFill="1" applyBorder="1" applyAlignment="1">
      <x:alignment wrapText="1"/>
    </x:xf>
    <x:xf numFmtId="0" fontId="0" fillId="4" borderId="13" xfId="1" applyFont="1" applyFill="1" applyBorder="1" applyAlignment="1">
      <x:alignment wrapText="1"/>
    </x:xf>
    <x:xf numFmtId="0" fontId="2" fillId="4" borderId="9" xfId="1" applyFont="1" applyFill="1" applyBorder="1" applyAlignment="1">
      <x:alignment wrapText="1"/>
    </x:xf>
    <x:xf numFmtId="0" fontId="2" fillId="4" borderId="8" xfId="1" applyFont="1" applyFill="1" applyBorder="1" applyAlignment="1">
      <x:alignment wrapText="1"/>
    </x:xf>
    <x:xf numFmtId="0" fontId="2" fillId="4" borderId="12" xfId="1" applyFont="1" applyFill="1" applyBorder="1" applyAlignment="1">
      <x:alignment wrapText="1"/>
    </x:xf>
    <x:xf numFmtId="0" fontId="4" fillId="4" borderId="3" xfId="1" applyFont="1" applyFill="1" applyBorder="1" applyAlignment="1">
      <x:alignment wrapText="1"/>
    </x:xf>
    <x:xf numFmtId="0" fontId="4" fillId="4" borderId="11" xfId="1" applyFont="1" applyFill="1" applyBorder="1" applyAlignment="1">
      <x:alignment wrapText="1"/>
    </x:xf>
    <x:xf numFmtId="176" fontId="0" fillId="4" borderId="9" xfId="1" applyNumberFormat="1" applyFont="1" applyFill="1" applyBorder="1" applyAlignment="1">
      <x:alignment wrapText="1"/>
    </x:xf>
    <x:xf numFmtId="176" fontId="0" fillId="4" borderId="8" xfId="1" applyNumberFormat="1" applyFont="1" applyFill="1" applyBorder="1" applyAlignment="1">
      <x:alignment wrapText="1"/>
    </x:xf>
    <x:xf numFmtId="176" fontId="0" fillId="4" borderId="12" xfId="1" applyNumberFormat="1" applyFont="1" applyFill="1" applyBorder="1" applyAlignment="1">
      <x:alignment wrapText="1"/>
    </x:xf>
    <x:xf numFmtId="0" fontId="1" fillId="2" borderId="0" xfId="1" applyFont="1" applyFill="1"/>
    <x:xf numFmtId="0" fontId="2" fillId="3" borderId="0" xfId="1" applyFont="1" applyFill="1"/>
    <x:xf numFmtId="0" fontId="3" fillId="5" borderId="0" xfId="1" applyFont="1" applyFill="1" applyAlignment="1">
      <x:alignment wrapText="1"/>
    </x:xf>
    <x:xf numFmtId="0" fontId="5" fillId="6" borderId="0" xfId="1" applyFont="1" applyFill="1" applyAlignment="1">
      <x:alignment wrapText="1"/>
    </x:xf>
  </x:cellXfs>
  <x:cellStyles count="2">
    <x:cellStyle name="Normal" xfId="1"/>
    <x:cellStyle name="標準" xfId="0"/>
  </x:cellStyles>
  <x:dxfs count="8"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ee93389184dd2" /><Relationship Type="http://schemas.openxmlformats.org/officeDocument/2006/relationships/theme" Target="/xl/theme/theme1.xml" Id="R55427d4e8c644059" /><Relationship Type="http://schemas.openxmlformats.org/officeDocument/2006/relationships/sharedStrings" Target="/xl/sharedStrings.xml" Id="R1d87808c45a94aaf" /><Relationship Type="http://schemas.openxmlformats.org/officeDocument/2006/relationships/worksheet" Target="/xl/worksheets/sheet1.xml" Id="R74ba5bfab1414db2" /><Relationship Type="http://schemas.openxmlformats.org/officeDocument/2006/relationships/worksheet" Target="/xl/worksheets/sheet2.xml" Id="Ra66fcc30122d40c5" /><Relationship Type="http://schemas.openxmlformats.org/officeDocument/2006/relationships/worksheet" Target="/xl/worksheets/sheet3.xml" Id="R8a20d76407414b00" /><Relationship Type="http://schemas.openxmlformats.org/officeDocument/2006/relationships/worksheet" Target="/xl/worksheets/sheet4.xml" Id="R79f90796ff284bff" /><Relationship Type="http://schemas.openxmlformats.org/officeDocument/2006/relationships/worksheet" Target="/xl/worksheets/sheet5.xml" Id="R3dd39c4198ce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6" customWidth="1"/>
    <x:col min="2" max="2" width="48" customWidth="1"/>
    <x:col min="3" max="3" width="26" customWidth="1"/>
    <x:col min="4" max="4" width="30" customWidth="1"/>
    <x:col min="5" max="6" width="16" customWidth="1"/>
  </x:cols>
  <x:sheetData>
    <x:row r="1" ht="30" customHeight="1">
      <x:c r="A1" s="27" t="s">
        <x:v>0</x:v>
      </x:c>
      <x:c r="B1" s="27"/>
      <x:c r="C1" s="27"/>
      <x:c r="D1" s="27"/>
      <x:c r="E1" s="27"/>
      <x:c r="F1" s="27"/>
    </x:row>
    <x:row r="3" ht="27.600000381469727">
      <x:c r="A3" s="1" t="s">
        <x:v>1</x:v>
      </x:c>
      <x:c r="B3" s="4" t="s">
        <x:v>2</x:v>
      </x:c>
    </x:row>
    <x:row r="4" ht="27.600000381469727">
      <x:c r="A4" s="2" t="s">
        <x:v>3</x:v>
      </x:c>
      <x:c r="B4" s="5" t="s">
        <x:v>4</x:v>
      </x:c>
    </x:row>
    <x:row r="5" ht="27.600000381469727">
      <x:c r="A5" s="2" t="s">
        <x:v>5</x:v>
      </x:c>
      <x:c r="B5" s="5" t="s">
        <x:v>6</x:v>
      </x:c>
    </x:row>
    <x:row r="6">
      <x:c r="A6" s="2" t="s">
        <x:v>7</x:v>
      </x:c>
      <x:c r="B6" s="5" t="s">
        <x:v>8</x:v>
      </x:c>
    </x:row>
    <x:row r="7" ht="27.600000381469727">
      <x:c r="A7" s="2" t="s">
        <x:v>9</x:v>
      </x:c>
      <x:c r="B7" s="5" t="s">
        <x:v>10</x:v>
      </x:c>
    </x:row>
    <x:row r="8" ht="27.600000381469727">
      <x:c r="A8" s="2" t="s">
        <x:v>11</x:v>
      </x:c>
      <x:c r="B8" s="5" t="s">
        <x:v>12</x:v>
      </x:c>
    </x:row>
    <x:row r="9">
      <x:c r="A9" s="3" t="s">
        <x:v>13</x:v>
      </x:c>
      <x:c r="B9" s="6">
        <x:v>46266</x:v>
      </x:c>
    </x:row>
    <x:row r="11">
      <x:c r="A11" s="28" t="s">
        <x:v>14</x:v>
      </x:c>
      <x:c r="B11" s="28"/>
      <x:c r="C11" s="28"/>
      <x:c r="D11" s="28"/>
      <x:c r="E11" s="28"/>
      <x:c r="F11" s="28"/>
    </x:row>
    <x:row r="12">
      <x:c r="A12" s="7" t="s">
        <x:v>15</x:v>
      </x:c>
      <x:c r="B12" s="8" t="s">
        <x:v>16</x:v>
      </x:c>
      <x:c r="C12" s="8" t="s">
        <x:v>17</x:v>
      </x:c>
      <x:c r="D12" s="8" t="s">
        <x:v>18</x:v>
      </x:c>
      <x:c r="E12" s="8" t="s">
        <x:v>19</x:v>
      </x:c>
      <x:c r="F12" s="9" t="s">
        <x:v>20</x:v>
      </x:c>
    </x:row>
    <x:row r="13">
      <x:c r="A13" s="10" t="s">
        <x:v>21</x:v>
      </x:c>
      <x:c r="B13" s="11" t="s">
        <x:v>22</x:v>
      </x:c>
      <x:c r="C13" s="11" t="s">
        <x:v>23</x:v>
      </x:c>
      <x:c r="D13" s="11" t="s">
        <x:v>24</x:v>
      </x:c>
      <x:c r="E13" s="11" t="s">
        <x:v>25</x:v>
      </x:c>
      <x:c r="F13" s="12"/>
    </x:row>
    <x:row r="14">
      <x:c r="A14" s="13" t="s">
        <x:v>26</x:v>
      </x:c>
      <x:c r="B14" s="14" t="s">
        <x:v>27</x:v>
      </x:c>
      <x:c r="C14" s="14" t="s">
        <x:v>28</x:v>
      </x:c>
      <x:c r="D14" s="14" t="s">
        <x:v>29</x:v>
      </x:c>
      <x:c r="E14" s="14" t="s">
        <x:v>25</x:v>
      </x:c>
      <x:c r="F14" s="15"/>
    </x:row>
    <x:row r="15">
      <x:c r="A15" s="16" t="s">
        <x:v>30</x:v>
      </x:c>
      <x:c r="B15" s="17" t="s">
        <x:v>31</x:v>
      </x:c>
      <x:c r="C15" s="17" t="s">
        <x:v>32</x:v>
      </x:c>
      <x:c r="D15" s="17" t="s">
        <x:v>33</x:v>
      </x:c>
      <x:c r="E15" s="17" t="s">
        <x:v>25</x:v>
      </x:c>
      <x:c r="F15" s="18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0" customWidth="1"/>
    <x:col min="2" max="2" width="14" customWidth="1"/>
    <x:col min="3" max="3" width="4" customWidth="1"/>
    <x:col min="4" max="4" width="18" customWidth="1"/>
    <x:col min="5" max="5" width="12" customWidth="1"/>
    <x:col min="6" max="6" width="28" customWidth="1"/>
  </x:cols>
  <x:sheetData>
    <x:row r="1" ht="30" customHeight="1">
      <x:c r="A1" s="27" t="s">
        <x:v>34</x:v>
      </x:c>
      <x:c r="B1" s="27"/>
      <x:c r="C1" s="27"/>
      <x:c r="D1" s="27"/>
      <x:c r="E1" s="27"/>
      <x:c r="F1" s="27"/>
    </x:row>
    <x:row r="3">
      <x:c r="A3" s="7" t="s">
        <x:v>35</x:v>
      </x:c>
      <x:c r="B3" s="9" t="s">
        <x:v>36</x:v>
      </x:c>
      <x:c r="D3" s="7" t="s">
        <x:v>37</x:v>
      </x:c>
      <x:c r="E3" s="8" t="s">
        <x:v>38</x:v>
      </x:c>
      <x:c r="F3" s="9" t="s">
        <x:v>39</x:v>
      </x:c>
    </x:row>
    <x:row r="4">
      <x:c r="A4" s="10" t="s">
        <x:v>40</x:v>
      </x:c>
      <x:c r="B4" s="12" t="e">
        <x:f>COUNTA(品質チェック!A5:A16)</x:f>
        <x:v>#NAME?</x:v>
      </x:c>
      <x:c r="D4" s="10" t="s">
        <x:v>41</x:v>
      </x:c>
      <x:c r="E4" s="11" t="e">
        <x:f>COUNTBLANK(候補10件!J5:J14)</x:f>
        <x:v>#NAME?</x:v>
      </x:c>
      <x:c r="F4" s="12" t="s">
        <x:v>42</x:v>
      </x:c>
    </x:row>
    <x:row r="5">
      <x:c r="A5" s="13" t="s">
        <x:v>43</x:v>
      </x:c>
      <x:c r="B5" s="15" t="e">
        <x:f>COUNTIF(品質チェック!S5:S16,"合格")</x:f>
        <x:v>#NAME?</x:v>
      </x:c>
      <x:c r="D5" s="13" t="s">
        <x:v>44</x:v>
      </x:c>
      <x:c r="E5" s="14" t="e">
        <x:f>COUNTIF(候補10件!J5:J14,1)</x:f>
        <x:v>#NAME?</x:v>
      </x:c>
      <x:c r="F5" s="15" t="s">
        <x:v>45</x:v>
      </x:c>
    </x:row>
    <x:row r="6">
      <x:c r="A6" s="13" t="s">
        <x:v>46</x:v>
      </x:c>
      <x:c r="B6" s="15" t="e">
        <x:f>COUNTIF(品質チェック!S5:S16,"要修正")</x:f>
        <x:v>#NAME?</x:v>
      </x:c>
      <x:c r="D6" s="16" t="s">
        <x:v>47</x:v>
      </x:c>
      <x:c r="E6" s="17" t="e">
        <x:f>COUNTIF(候補10件!J5:J14,2)+COUNTIF(候補10件!J5:J14,3)</x:f>
        <x:v>#NAME?</x:v>
      </x:c>
      <x:c r="F6" s="18" t="s">
        <x:v>48</x:v>
      </x:c>
    </x:row>
    <x:row r="7">
      <x:c r="A7" s="13" t="s">
        <x:v>49</x:v>
      </x:c>
      <x:c r="B7" s="15" t="e">
        <x:f>COUNTIF(品質チェック!S5:S16,"未確認")</x:f>
        <x:v>#NAME?</x:v>
      </x:c>
    </x:row>
    <x:row r="8">
      <x:c r="A8" s="16" t="s">
        <x:v>50</x:v>
      </x:c>
      <x:c r="B8" s="18" t="e">
        <x:f>COUNTA(候補10件!A5:A14)</x:f>
        <x:v>#NAME?</x:v>
      </x:c>
    </x:row>
    <x:row r="10">
      <x:c r="A10" s="29" t="s">
        <x:v>51</x:v>
      </x:c>
      <x:c r="B10" s="29"/>
      <x:c r="C10" s="29"/>
      <x:c r="D10" s="29"/>
      <x:c r="E10" s="29"/>
      <x:c r="F10" s="29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9" customWidth="1"/>
    <x:col min="2" max="2" width="24" customWidth="1"/>
    <x:col min="3" max="3" width="42" customWidth="1"/>
    <x:col min="4" max="9" width="12" customWidth="1"/>
    <x:col min="10" max="10" width="14" customWidth="1"/>
    <x:col min="11" max="13" width="12" customWidth="1"/>
    <x:col min="14" max="15" width="10" customWidth="1"/>
    <x:col min="16" max="17" width="12" customWidth="1"/>
    <x:col min="18" max="18" width="28" customWidth="1"/>
    <x:col min="19" max="19" width="12" customWidth="1"/>
    <x:col min="20" max="20" width="28" customWidth="1"/>
  </x:cols>
  <x:sheetData>
    <x:row r="1" ht="30" customHeight="1">
      <x:c r="A1" s="27" t="s">
        <x:v>52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</x:row>
    <x:row r="4">
      <x:c r="A4" s="7" t="s">
        <x:v>53</x:v>
      </x:c>
      <x:c r="B4" s="8" t="s">
        <x:v>54</x:v>
      </x:c>
      <x:c r="C4" s="8" t="s">
        <x:v>55</x:v>
      </x:c>
      <x:c r="D4" s="8" t="s">
        <x:v>56</x:v>
      </x:c>
      <x:c r="E4" s="8" t="s">
        <x:v>57</x:v>
      </x:c>
      <x:c r="F4" s="8" t="s">
        <x:v>58</x:v>
      </x:c>
      <x:c r="G4" s="8" t="s">
        <x:v>59</x:v>
      </x:c>
      <x:c r="H4" s="8" t="s">
        <x:v>60</x:v>
      </x:c>
      <x:c r="I4" s="8" t="s">
        <x:v>61</x:v>
      </x:c>
      <x:c r="J4" s="8" t="s">
        <x:v>62</x:v>
      </x:c>
      <x:c r="K4" s="8" t="s">
        <x:v>63</x:v>
      </x:c>
      <x:c r="L4" s="8" t="s">
        <x:v>64</x:v>
      </x:c>
      <x:c r="M4" s="8" t="s">
        <x:v>65</x:v>
      </x:c>
      <x:c r="N4" s="8" t="s">
        <x:v>66</x:v>
      </x:c>
      <x:c r="O4" s="8" t="s">
        <x:v>67</x:v>
      </x:c>
      <x:c r="P4" s="8" t="s">
        <x:v>68</x:v>
      </x:c>
      <x:c r="Q4" s="8" t="s">
        <x:v>7</x:v>
      </x:c>
      <x:c r="R4" s="8" t="s">
        <x:v>69</x:v>
      </x:c>
      <x:c r="S4" s="8" t="s">
        <x:v>70</x:v>
      </x:c>
      <x:c r="T4" s="9" t="s">
        <x:v>71</x:v>
      </x:c>
    </x:row>
    <x:row r="5">
      <x:c r="A5" s="19" t="s">
        <x:v>72</x:v>
      </x:c>
      <x:c r="B5" s="11" t="s">
        <x:v>73</x:v>
      </x:c>
      <x:c r="C5" s="22" t="s">
        <x:v>74</x:v>
      </x:c>
      <x:c r="D5" s="11" t="s">
        <x:v>49</x:v>
      </x:c>
      <x:c r="E5" s="11" t="s">
        <x:v>49</x:v>
      </x:c>
      <x:c r="F5" s="11" t="s">
        <x:v>49</x:v>
      </x:c>
      <x:c r="G5" s="11" t="s">
        <x:v>49</x:v>
      </x:c>
      <x:c r="H5" s="11" t="s">
        <x:v>49</x:v>
      </x:c>
      <x:c r="I5" s="11" t="s">
        <x:v>49</x:v>
      </x:c>
      <x:c r="J5" s="11" t="s">
        <x:v>49</x:v>
      </x:c>
      <x:c r="K5" s="11" t="s">
        <x:v>49</x:v>
      </x:c>
      <x:c r="L5" s="11" t="s">
        <x:v>49</x:v>
      </x:c>
      <x:c r="M5" s="11" t="s">
        <x:v>49</x:v>
      </x:c>
      <x:c r="N5" s="11" t="s">
        <x:v>49</x:v>
      </x:c>
      <x:c r="O5" s="11" t="s">
        <x:v>49</x:v>
      </x:c>
      <x:c r="P5" s="11" t="s">
        <x:v>49</x:v>
      </x:c>
      <x:c r="Q5" s="11" t="s">
        <x:v>49</x:v>
      </x:c>
      <x:c r="R5" s="11" t="s">
        <x:v>49</x:v>
      </x:c>
      <x:c r="S5" s="11" t="s">
        <x:v>49</x:v>
      </x:c>
      <x:c r="T5" s="12" t="s">
        <x:v>49</x:v>
      </x:c>
    </x:row>
    <x:row r="6">
      <x:c r="A6" s="20" t="s">
        <x:v>75</x:v>
      </x:c>
      <x:c r="B6" s="14" t="s">
        <x:v>76</x:v>
      </x:c>
      <x:c r="C6" s="23" t="s">
        <x:v>77</x:v>
      </x:c>
      <x:c r="D6" s="14" t="s">
        <x:v>49</x:v>
      </x:c>
      <x:c r="E6" s="14" t="s">
        <x:v>49</x:v>
      </x:c>
      <x:c r="F6" s="14" t="s">
        <x:v>49</x:v>
      </x:c>
      <x:c r="G6" s="14" t="s">
        <x:v>49</x:v>
      </x:c>
      <x:c r="H6" s="14" t="s">
        <x:v>49</x:v>
      </x:c>
      <x:c r="I6" s="14" t="s">
        <x:v>49</x:v>
      </x:c>
      <x:c r="J6" s="14" t="s">
        <x:v>49</x:v>
      </x:c>
      <x:c r="K6" s="14" t="s">
        <x:v>49</x:v>
      </x:c>
      <x:c r="L6" s="14" t="s">
        <x:v>49</x:v>
      </x:c>
      <x:c r="M6" s="14" t="s">
        <x:v>49</x:v>
      </x:c>
      <x:c r="N6" s="14" t="s">
        <x:v>49</x:v>
      </x:c>
      <x:c r="O6" s="14" t="s">
        <x:v>49</x:v>
      </x:c>
      <x:c r="P6" s="14" t="s">
        <x:v>49</x:v>
      </x:c>
      <x:c r="Q6" s="14" t="s">
        <x:v>49</x:v>
      </x:c>
      <x:c r="R6" s="14" t="s">
        <x:v>49</x:v>
      </x:c>
      <x:c r="S6" s="14" t="s">
        <x:v>49</x:v>
      </x:c>
      <x:c r="T6" s="15" t="s">
        <x:v>49</x:v>
      </x:c>
    </x:row>
    <x:row r="7">
      <x:c r="A7" s="20" t="s">
        <x:v>78</x:v>
      </x:c>
      <x:c r="B7" s="14" t="s">
        <x:v>79</x:v>
      </x:c>
      <x:c r="C7" s="23" t="s">
        <x:v>80</x:v>
      </x:c>
      <x:c r="D7" s="14" t="s">
        <x:v>49</x:v>
      </x:c>
      <x:c r="E7" s="14" t="s">
        <x:v>49</x:v>
      </x:c>
      <x:c r="F7" s="14" t="s">
        <x:v>49</x:v>
      </x:c>
      <x:c r="G7" s="14" t="s">
        <x:v>49</x:v>
      </x:c>
      <x:c r="H7" s="14" t="s">
        <x:v>49</x:v>
      </x:c>
      <x:c r="I7" s="14" t="s">
        <x:v>49</x:v>
      </x:c>
      <x:c r="J7" s="14" t="s">
        <x:v>49</x:v>
      </x:c>
      <x:c r="K7" s="14" t="s">
        <x:v>49</x:v>
      </x:c>
      <x:c r="L7" s="14" t="s">
        <x:v>49</x:v>
      </x:c>
      <x:c r="M7" s="14" t="s">
        <x:v>49</x:v>
      </x:c>
      <x:c r="N7" s="14" t="s">
        <x:v>49</x:v>
      </x:c>
      <x:c r="O7" s="14" t="s">
        <x:v>49</x:v>
      </x:c>
      <x:c r="P7" s="14" t="s">
        <x:v>49</x:v>
      </x:c>
      <x:c r="Q7" s="14" t="s">
        <x:v>49</x:v>
      </x:c>
      <x:c r="R7" s="14" t="s">
        <x:v>49</x:v>
      </x:c>
      <x:c r="S7" s="14" t="s">
        <x:v>49</x:v>
      </x:c>
      <x:c r="T7" s="15" t="s">
        <x:v>49</x:v>
      </x:c>
    </x:row>
    <x:row r="8">
      <x:c r="A8" s="20" t="s">
        <x:v>81</x:v>
      </x:c>
      <x:c r="B8" s="14" t="s">
        <x:v>82</x:v>
      </x:c>
      <x:c r="C8" s="23" t="s">
        <x:v>83</x:v>
      </x:c>
      <x:c r="D8" s="14" t="s">
        <x:v>49</x:v>
      </x:c>
      <x:c r="E8" s="14" t="s">
        <x:v>49</x:v>
      </x:c>
      <x:c r="F8" s="14" t="s">
        <x:v>49</x:v>
      </x:c>
      <x:c r="G8" s="14" t="s">
        <x:v>49</x:v>
      </x:c>
      <x:c r="H8" s="14" t="s">
        <x:v>49</x:v>
      </x:c>
      <x:c r="I8" s="14" t="s">
        <x:v>49</x:v>
      </x:c>
      <x:c r="J8" s="14" t="s">
        <x:v>49</x:v>
      </x:c>
      <x:c r="K8" s="14" t="s">
        <x:v>49</x:v>
      </x:c>
      <x:c r="L8" s="14" t="s">
        <x:v>49</x:v>
      </x:c>
      <x:c r="M8" s="14" t="s">
        <x:v>49</x:v>
      </x:c>
      <x:c r="N8" s="14" t="s">
        <x:v>49</x:v>
      </x:c>
      <x:c r="O8" s="14" t="s">
        <x:v>49</x:v>
      </x:c>
      <x:c r="P8" s="14" t="s">
        <x:v>49</x:v>
      </x:c>
      <x:c r="Q8" s="14" t="s">
        <x:v>49</x:v>
      </x:c>
      <x:c r="R8" s="14" t="s">
        <x:v>49</x:v>
      </x:c>
      <x:c r="S8" s="14" t="s">
        <x:v>49</x:v>
      </x:c>
      <x:c r="T8" s="15" t="s">
        <x:v>49</x:v>
      </x:c>
    </x:row>
    <x:row r="9">
      <x:c r="A9" s="20" t="s">
        <x:v>84</x:v>
      </x:c>
      <x:c r="B9" s="14" t="s">
        <x:v>85</x:v>
      </x:c>
      <x:c r="C9" s="23" t="s">
        <x:v>86</x:v>
      </x:c>
      <x:c r="D9" s="14" t="s">
        <x:v>49</x:v>
      </x:c>
      <x:c r="E9" s="14" t="s">
        <x:v>49</x:v>
      </x:c>
      <x:c r="F9" s="14" t="s">
        <x:v>49</x:v>
      </x:c>
      <x:c r="G9" s="14" t="s">
        <x:v>49</x:v>
      </x:c>
      <x:c r="H9" s="14" t="s">
        <x:v>49</x:v>
      </x:c>
      <x:c r="I9" s="14" t="s">
        <x:v>49</x:v>
      </x:c>
      <x:c r="J9" s="14" t="s">
        <x:v>49</x:v>
      </x:c>
      <x:c r="K9" s="14" t="s">
        <x:v>49</x:v>
      </x:c>
      <x:c r="L9" s="14" t="s">
        <x:v>49</x:v>
      </x:c>
      <x:c r="M9" s="14" t="s">
        <x:v>49</x:v>
      </x:c>
      <x:c r="N9" s="14" t="s">
        <x:v>49</x:v>
      </x:c>
      <x:c r="O9" s="14" t="s">
        <x:v>49</x:v>
      </x:c>
      <x:c r="P9" s="14" t="s">
        <x:v>49</x:v>
      </x:c>
      <x:c r="Q9" s="14" t="s">
        <x:v>49</x:v>
      </x:c>
      <x:c r="R9" s="14" t="s">
        <x:v>49</x:v>
      </x:c>
      <x:c r="S9" s="14" t="s">
        <x:v>49</x:v>
      </x:c>
      <x:c r="T9" s="15" t="s">
        <x:v>49</x:v>
      </x:c>
    </x:row>
    <x:row r="10">
      <x:c r="A10" s="20" t="s">
        <x:v>87</x:v>
      </x:c>
      <x:c r="B10" s="14" t="s">
        <x:v>88</x:v>
      </x:c>
      <x:c r="C10" s="23" t="s">
        <x:v>89</x:v>
      </x:c>
      <x:c r="D10" s="14" t="s">
        <x:v>49</x:v>
      </x:c>
      <x:c r="E10" s="14" t="s">
        <x:v>49</x:v>
      </x:c>
      <x:c r="F10" s="14" t="s">
        <x:v>49</x:v>
      </x:c>
      <x:c r="G10" s="14" t="s">
        <x:v>49</x:v>
      </x:c>
      <x:c r="H10" s="14" t="s">
        <x:v>49</x:v>
      </x:c>
      <x:c r="I10" s="14" t="s">
        <x:v>49</x:v>
      </x:c>
      <x:c r="J10" s="14" t="s">
        <x:v>49</x:v>
      </x:c>
      <x:c r="K10" s="14" t="s">
        <x:v>49</x:v>
      </x:c>
      <x:c r="L10" s="14" t="s">
        <x:v>49</x:v>
      </x:c>
      <x:c r="M10" s="14" t="s">
        <x:v>49</x:v>
      </x:c>
      <x:c r="N10" s="14" t="s">
        <x:v>49</x:v>
      </x:c>
      <x:c r="O10" s="14" t="s">
        <x:v>49</x:v>
      </x:c>
      <x:c r="P10" s="14" t="s">
        <x:v>49</x:v>
      </x:c>
      <x:c r="Q10" s="14" t="s">
        <x:v>49</x:v>
      </x:c>
      <x:c r="R10" s="14" t="s">
        <x:v>49</x:v>
      </x:c>
      <x:c r="S10" s="14" t="s">
        <x:v>49</x:v>
      </x:c>
      <x:c r="T10" s="15" t="s">
        <x:v>49</x:v>
      </x:c>
    </x:row>
    <x:row r="11">
      <x:c r="A11" s="20" t="s">
        <x:v>90</x:v>
      </x:c>
      <x:c r="B11" s="14" t="s">
        <x:v>91</x:v>
      </x:c>
      <x:c r="C11" s="23" t="s">
        <x:v>92</x:v>
      </x:c>
      <x:c r="D11" s="14" t="s">
        <x:v>49</x:v>
      </x:c>
      <x:c r="E11" s="14" t="s">
        <x:v>49</x:v>
      </x:c>
      <x:c r="F11" s="14" t="s">
        <x:v>49</x:v>
      </x:c>
      <x:c r="G11" s="14" t="s">
        <x:v>49</x:v>
      </x:c>
      <x:c r="H11" s="14" t="s">
        <x:v>49</x:v>
      </x:c>
      <x:c r="I11" s="14" t="s">
        <x:v>49</x:v>
      </x:c>
      <x:c r="J11" s="14" t="s">
        <x:v>49</x:v>
      </x:c>
      <x:c r="K11" s="14" t="s">
        <x:v>49</x:v>
      </x:c>
      <x:c r="L11" s="14" t="s">
        <x:v>49</x:v>
      </x:c>
      <x:c r="M11" s="14" t="s">
        <x:v>49</x:v>
      </x:c>
      <x:c r="N11" s="14" t="s">
        <x:v>49</x:v>
      </x:c>
      <x:c r="O11" s="14" t="s">
        <x:v>49</x:v>
      </x:c>
      <x:c r="P11" s="14" t="s">
        <x:v>49</x:v>
      </x:c>
      <x:c r="Q11" s="14" t="s">
        <x:v>49</x:v>
      </x:c>
      <x:c r="R11" s="14" t="s">
        <x:v>49</x:v>
      </x:c>
      <x:c r="S11" s="14" t="s">
        <x:v>49</x:v>
      </x:c>
      <x:c r="T11" s="15" t="s">
        <x:v>49</x:v>
      </x:c>
    </x:row>
    <x:row r="12">
      <x:c r="A12" s="20" t="s">
        <x:v>93</x:v>
      </x:c>
      <x:c r="B12" s="14" t="s">
        <x:v>94</x:v>
      </x:c>
      <x:c r="C12" s="23" t="s">
        <x:v>95</x:v>
      </x:c>
      <x:c r="D12" s="14" t="s">
        <x:v>49</x:v>
      </x:c>
      <x:c r="E12" s="14" t="s">
        <x:v>49</x:v>
      </x:c>
      <x:c r="F12" s="14" t="s">
        <x:v>49</x:v>
      </x:c>
      <x:c r="G12" s="14" t="s">
        <x:v>49</x:v>
      </x:c>
      <x:c r="H12" s="14" t="s">
        <x:v>49</x:v>
      </x:c>
      <x:c r="I12" s="14" t="s">
        <x:v>49</x:v>
      </x:c>
      <x:c r="J12" s="14" t="s">
        <x:v>49</x:v>
      </x:c>
      <x:c r="K12" s="14" t="s">
        <x:v>49</x:v>
      </x:c>
      <x:c r="L12" s="14" t="s">
        <x:v>49</x:v>
      </x:c>
      <x:c r="M12" s="14" t="s">
        <x:v>49</x:v>
      </x:c>
      <x:c r="N12" s="14" t="s">
        <x:v>49</x:v>
      </x:c>
      <x:c r="O12" s="14" t="s">
        <x:v>49</x:v>
      </x:c>
      <x:c r="P12" s="14" t="s">
        <x:v>49</x:v>
      </x:c>
      <x:c r="Q12" s="14" t="s">
        <x:v>49</x:v>
      </x:c>
      <x:c r="R12" s="14" t="s">
        <x:v>49</x:v>
      </x:c>
      <x:c r="S12" s="14" t="s">
        <x:v>49</x:v>
      </x:c>
      <x:c r="T12" s="15" t="s">
        <x:v>49</x:v>
      </x:c>
    </x:row>
    <x:row r="13">
      <x:c r="A13" s="20" t="s">
        <x:v>96</x:v>
      </x:c>
      <x:c r="B13" s="14" t="s">
        <x:v>97</x:v>
      </x:c>
      <x:c r="C13" s="23" t="s">
        <x:v>98</x:v>
      </x:c>
      <x:c r="D13" s="14" t="s">
        <x:v>49</x:v>
      </x:c>
      <x:c r="E13" s="14" t="s">
        <x:v>49</x:v>
      </x:c>
      <x:c r="F13" s="14" t="s">
        <x:v>49</x:v>
      </x:c>
      <x:c r="G13" s="14" t="s">
        <x:v>49</x:v>
      </x:c>
      <x:c r="H13" s="14" t="s">
        <x:v>49</x:v>
      </x:c>
      <x:c r="I13" s="14" t="s">
        <x:v>49</x:v>
      </x:c>
      <x:c r="J13" s="14" t="s">
        <x:v>49</x:v>
      </x:c>
      <x:c r="K13" s="14" t="s">
        <x:v>49</x:v>
      </x:c>
      <x:c r="L13" s="14" t="s">
        <x:v>49</x:v>
      </x:c>
      <x:c r="M13" s="14" t="s">
        <x:v>49</x:v>
      </x:c>
      <x:c r="N13" s="14" t="s">
        <x:v>49</x:v>
      </x:c>
      <x:c r="O13" s="14" t="s">
        <x:v>49</x:v>
      </x:c>
      <x:c r="P13" s="14" t="s">
        <x:v>49</x:v>
      </x:c>
      <x:c r="Q13" s="14" t="s">
        <x:v>49</x:v>
      </x:c>
      <x:c r="R13" s="14" t="s">
        <x:v>49</x:v>
      </x:c>
      <x:c r="S13" s="14" t="s">
        <x:v>49</x:v>
      </x:c>
      <x:c r="T13" s="15" t="s">
        <x:v>49</x:v>
      </x:c>
    </x:row>
    <x:row r="14">
      <x:c r="A14" s="20" t="s">
        <x:v>99</x:v>
      </x:c>
      <x:c r="B14" s="14" t="s">
        <x:v>100</x:v>
      </x:c>
      <x:c r="C14" s="23" t="s">
        <x:v>101</x:v>
      </x:c>
      <x:c r="D14" s="14" t="s">
        <x:v>49</x:v>
      </x:c>
      <x:c r="E14" s="14" t="s">
        <x:v>49</x:v>
      </x:c>
      <x:c r="F14" s="14" t="s">
        <x:v>49</x:v>
      </x:c>
      <x:c r="G14" s="14" t="s">
        <x:v>49</x:v>
      </x:c>
      <x:c r="H14" s="14" t="s">
        <x:v>49</x:v>
      </x:c>
      <x:c r="I14" s="14" t="s">
        <x:v>49</x:v>
      </x:c>
      <x:c r="J14" s="14" t="s">
        <x:v>49</x:v>
      </x:c>
      <x:c r="K14" s="14" t="s">
        <x:v>49</x:v>
      </x:c>
      <x:c r="L14" s="14" t="s">
        <x:v>49</x:v>
      </x:c>
      <x:c r="M14" s="14" t="s">
        <x:v>49</x:v>
      </x:c>
      <x:c r="N14" s="14" t="s">
        <x:v>49</x:v>
      </x:c>
      <x:c r="O14" s="14" t="s">
        <x:v>49</x:v>
      </x:c>
      <x:c r="P14" s="14" t="s">
        <x:v>49</x:v>
      </x:c>
      <x:c r="Q14" s="14" t="s">
        <x:v>49</x:v>
      </x:c>
      <x:c r="R14" s="14" t="s">
        <x:v>49</x:v>
      </x:c>
      <x:c r="S14" s="14" t="s">
        <x:v>49</x:v>
      </x:c>
      <x:c r="T14" s="15" t="s">
        <x:v>49</x:v>
      </x:c>
    </x:row>
    <x:row r="15">
      <x:c r="A15" s="20" t="s">
        <x:v>102</x:v>
      </x:c>
      <x:c r="B15" s="14" t="s">
        <x:v>103</x:v>
      </x:c>
      <x:c r="C15" s="23" t="s">
        <x:v>104</x:v>
      </x:c>
      <x:c r="D15" s="14" t="s">
        <x:v>49</x:v>
      </x:c>
      <x:c r="E15" s="14" t="s">
        <x:v>49</x:v>
      </x:c>
      <x:c r="F15" s="14" t="s">
        <x:v>49</x:v>
      </x:c>
      <x:c r="G15" s="14" t="s">
        <x:v>49</x:v>
      </x:c>
      <x:c r="H15" s="14" t="s">
        <x:v>49</x:v>
      </x:c>
      <x:c r="I15" s="14" t="s">
        <x:v>49</x:v>
      </x:c>
      <x:c r="J15" s="14" t="s">
        <x:v>49</x:v>
      </x:c>
      <x:c r="K15" s="14" t="s">
        <x:v>49</x:v>
      </x:c>
      <x:c r="L15" s="14" t="s">
        <x:v>49</x:v>
      </x:c>
      <x:c r="M15" s="14" t="s">
        <x:v>49</x:v>
      </x:c>
      <x:c r="N15" s="14" t="s">
        <x:v>49</x:v>
      </x:c>
      <x:c r="O15" s="14" t="s">
        <x:v>49</x:v>
      </x:c>
      <x:c r="P15" s="14" t="s">
        <x:v>49</x:v>
      </x:c>
      <x:c r="Q15" s="14" t="s">
        <x:v>49</x:v>
      </x:c>
      <x:c r="R15" s="14" t="s">
        <x:v>49</x:v>
      </x:c>
      <x:c r="S15" s="14" t="s">
        <x:v>49</x:v>
      </x:c>
      <x:c r="T15" s="15" t="s">
        <x:v>49</x:v>
      </x:c>
    </x:row>
    <x:row r="16">
      <x:c r="A16" s="20" t="s">
        <x:v>105</x:v>
      </x:c>
      <x:c r="B16" s="14" t="s">
        <x:v>106</x:v>
      </x:c>
      <x:c r="C16" s="23" t="s">
        <x:v>107</x:v>
      </x:c>
      <x:c r="D16" s="14" t="s">
        <x:v>49</x:v>
      </x:c>
      <x:c r="E16" s="14" t="s">
        <x:v>49</x:v>
      </x:c>
      <x:c r="F16" s="14" t="s">
        <x:v>49</x:v>
      </x:c>
      <x:c r="G16" s="14" t="s">
        <x:v>49</x:v>
      </x:c>
      <x:c r="H16" s="14" t="s">
        <x:v>49</x:v>
      </x:c>
      <x:c r="I16" s="14" t="s">
        <x:v>49</x:v>
      </x:c>
      <x:c r="J16" s="14" t="s">
        <x:v>49</x:v>
      </x:c>
      <x:c r="K16" s="14" t="s">
        <x:v>49</x:v>
      </x:c>
      <x:c r="L16" s="14" t="s">
        <x:v>49</x:v>
      </x:c>
      <x:c r="M16" s="14" t="s">
        <x:v>49</x:v>
      </x:c>
      <x:c r="N16" s="14" t="s">
        <x:v>49</x:v>
      </x:c>
      <x:c r="O16" s="14" t="s">
        <x:v>49</x:v>
      </x:c>
      <x:c r="P16" s="14" t="s">
        <x:v>49</x:v>
      </x:c>
      <x:c r="Q16" s="14" t="s">
        <x:v>49</x:v>
      </x:c>
      <x:c r="R16" s="14" t="s">
        <x:v>49</x:v>
      </x:c>
      <x:c r="S16" s="14" t="s">
        <x:v>49</x:v>
      </x:c>
      <x:c r="T16" s="15" t="s">
        <x:v>49</x:v>
      </x:c>
    </x:row>
    <x:row r="17">
      <x:c r="A17" s="20" t="str">
        <x:v>P01</x:v>
      </x:c>
      <x:c r="B17" s="14" t="str">
        <x:v>QRコード生成</x:v>
      </x:c>
      <x:c r="C17" s="14" t="str">
        <x:v>https://5sec-tools.pages.dev/tools/qr-code/</x:v>
      </x:c>
      <x:c r="D17" s="14" t="str">
        <x:v>未確認</x:v>
      </x:c>
      <x:c r="E17" s="14" t="str">
        <x:v>未確認</x:v>
      </x:c>
      <x:c r="F17" s="14" t="str">
        <x:v>未確認</x:v>
      </x:c>
      <x:c r="G17" s="14" t="str">
        <x:v>未確認</x:v>
      </x:c>
      <x:c r="H17" s="14" t="str">
        <x:v>未確認</x:v>
      </x:c>
      <x:c r="I17" s="14" t="str">
        <x:v>未確認</x:v>
      </x:c>
      <x:c r="J17" s="14" t="str">
        <x:v>未確認</x:v>
      </x:c>
      <x:c r="K17" s="14" t="str">
        <x:v>未確認</x:v>
      </x:c>
      <x:c r="L17" s="14" t="str">
        <x:v>未確認</x:v>
      </x:c>
      <x:c r="M17" s="14" t="str">
        <x:v>未確認</x:v>
      </x:c>
      <x:c r="N17" s="14" t="str">
        <x:v>未確認</x:v>
      </x:c>
      <x:c r="O17" s="14" t="str">
        <x:v>未確認</x:v>
      </x:c>
      <x:c r="P17" s="14" t="str">
        <x:v>未確認</x:v>
      </x:c>
      <x:c r="Q17" s="14" t="str">
        <x:v>未確認</x:v>
      </x:c>
      <x:c r="R17" s="14" t="str">
        <x:v>未確認</x:v>
      </x:c>
      <x:c r="S17" s="14" t="str">
        <x:v>未確認</x:v>
      </x:c>
      <x:c r="T17" s="15" t="str">
        <x:v>未確認</x:v>
      </x:c>
    </x:row>
    <x:row r="18">
      <x:c r="A18" s="20" t="str">
        <x:v>P02</x:v>
      </x:c>
      <x:c r="B18" s="14" t="str">
        <x:v>パスワード生成</x:v>
      </x:c>
      <x:c r="C18" s="14" t="str">
        <x:v>https://5sec-tools.pages.dev/tools/password-generator/</x:v>
      </x:c>
      <x:c r="D18" s="14" t="str">
        <x:v>未確認</x:v>
      </x:c>
      <x:c r="E18" s="14" t="str">
        <x:v>未確認</x:v>
      </x:c>
      <x:c r="F18" s="14" t="str">
        <x:v>未確認</x:v>
      </x:c>
      <x:c r="G18" s="14" t="str">
        <x:v>未確認</x:v>
      </x:c>
      <x:c r="H18" s="14" t="str">
        <x:v>未確認</x:v>
      </x:c>
      <x:c r="I18" s="14" t="str">
        <x:v>未確認</x:v>
      </x:c>
      <x:c r="J18" s="14" t="str">
        <x:v>未確認</x:v>
      </x:c>
      <x:c r="K18" s="14" t="str">
        <x:v>未確認</x:v>
      </x:c>
      <x:c r="L18" s="14" t="str">
        <x:v>未確認</x:v>
      </x:c>
      <x:c r="M18" s="14" t="str">
        <x:v>未確認</x:v>
      </x:c>
      <x:c r="N18" s="14" t="str">
        <x:v>未確認</x:v>
      </x:c>
      <x:c r="O18" s="14" t="str">
        <x:v>未確認</x:v>
      </x:c>
      <x:c r="P18" s="14" t="str">
        <x:v>未確認</x:v>
      </x:c>
      <x:c r="Q18" s="14" t="str">
        <x:v>未確認</x:v>
      </x:c>
      <x:c r="R18" s="14" t="str">
        <x:v>未確認</x:v>
      </x:c>
      <x:c r="S18" s="14" t="str">
        <x:v>未確認</x:v>
      </x:c>
      <x:c r="T18" s="15" t="str">
        <x:v>未確認</x:v>
      </x:c>
    </x:row>
    <x:row r="19">
      <x:c r="A19" s="20" t="str">
        <x:v>P08</x:v>
      </x:c>
      <x:c r="B19" s="14" t="str">
        <x:v>画像リサイズ</x:v>
      </x:c>
      <x:c r="C19" s="14" t="str">
        <x:v>https://5sec-tools.pages.dev/tools/image-resize/</x:v>
      </x:c>
      <x:c r="D19" s="14" t="str">
        <x:v>未確認</x:v>
      </x:c>
      <x:c r="E19" s="14" t="str">
        <x:v>未確認</x:v>
      </x:c>
      <x:c r="F19" s="14" t="str">
        <x:v>未確認</x:v>
      </x:c>
      <x:c r="G19" s="14" t="str">
        <x:v>未確認</x:v>
      </x:c>
      <x:c r="H19" s="14" t="str">
        <x:v>未確認</x:v>
      </x:c>
      <x:c r="I19" s="14" t="str">
        <x:v>未確認</x:v>
      </x:c>
      <x:c r="J19" s="14" t="str">
        <x:v>未確認</x:v>
      </x:c>
      <x:c r="K19" s="14" t="str">
        <x:v>未確認</x:v>
      </x:c>
      <x:c r="L19" s="14" t="str">
        <x:v>未確認</x:v>
      </x:c>
      <x:c r="M19" s="14" t="str">
        <x:v>未確認</x:v>
      </x:c>
      <x:c r="N19" s="14" t="str">
        <x:v>未確認</x:v>
      </x:c>
      <x:c r="O19" s="14" t="str">
        <x:v>未確認</x:v>
      </x:c>
      <x:c r="P19" s="14" t="str">
        <x:v>未確認</x:v>
      </x:c>
      <x:c r="Q19" s="14" t="str">
        <x:v>未確認</x:v>
      </x:c>
      <x:c r="R19" s="14" t="str">
        <x:v>未確認</x:v>
      </x:c>
      <x:c r="S19" s="14" t="str">
        <x:v>未確認</x:v>
      </x:c>
      <x:c r="T19" s="15" t="str">
        <x:v>未確認</x:v>
      </x:c>
    </x:row>
    <x:row r="20">
      <x:c r="A20" s="20" t="str">
        <x:v>P09</x:v>
      </x:c>
      <x:c r="B20" s="14" t="str">
        <x:v>文字列置換</x:v>
      </x:c>
      <x:c r="C20" s="14" t="str">
        <x:v>https://5sec-tools.pages.dev/tools/text-replace/</x:v>
      </x:c>
      <x:c r="D20" s="14" t="str">
        <x:v>未確認</x:v>
      </x:c>
      <x:c r="E20" s="14" t="str">
        <x:v>未確認</x:v>
      </x:c>
      <x:c r="F20" s="14" t="str">
        <x:v>未確認</x:v>
      </x:c>
      <x:c r="G20" s="14" t="str">
        <x:v>未確認</x:v>
      </x:c>
      <x:c r="H20" s="14" t="str">
        <x:v>未確認</x:v>
      </x:c>
      <x:c r="I20" s="14" t="str">
        <x:v>未確認</x:v>
      </x:c>
      <x:c r="J20" s="14" t="str">
        <x:v>未確認</x:v>
      </x:c>
      <x:c r="K20" s="14" t="str">
        <x:v>未確認</x:v>
      </x:c>
      <x:c r="L20" s="14" t="str">
        <x:v>未確認</x:v>
      </x:c>
      <x:c r="M20" s="14" t="str">
        <x:v>未確認</x:v>
      </x:c>
      <x:c r="N20" s="14" t="str">
        <x:v>未確認</x:v>
      </x:c>
      <x:c r="O20" s="14" t="str">
        <x:v>未確認</x:v>
      </x:c>
      <x:c r="P20" s="14" t="str">
        <x:v>未確認</x:v>
      </x:c>
      <x:c r="Q20" s="14" t="str">
        <x:v>未確認</x:v>
      </x:c>
      <x:c r="R20" s="14" t="str">
        <x:v>未確認</x:v>
      </x:c>
      <x:c r="S20" s="14" t="str">
        <x:v>未確認</x:v>
      </x:c>
      <x:c r="T20" s="15" t="str">
        <x:v>未確認</x:v>
      </x:c>
    </x:row>
    <x:row r="21">
      <x:c r="A21" s="20" t="str">
        <x:v>P10</x:v>
      </x:c>
      <x:c r="B21" s="14" t="str">
        <x:v>CSV・TSV変換</x:v>
      </x:c>
      <x:c r="C21" s="14" t="str">
        <x:v>https://5sec-tools.pages.dev/tools/csv-tsv-converter/</x:v>
      </x:c>
      <x:c r="D21" s="14" t="str">
        <x:v>未確認</x:v>
      </x:c>
      <x:c r="E21" s="14" t="str">
        <x:v>未確認</x:v>
      </x:c>
      <x:c r="F21" s="14" t="str">
        <x:v>未確認</x:v>
      </x:c>
      <x:c r="G21" s="14" t="str">
        <x:v>未確認</x:v>
      </x:c>
      <x:c r="H21" s="14" t="str">
        <x:v>未確認</x:v>
      </x:c>
      <x:c r="I21" s="14" t="str">
        <x:v>未確認</x:v>
      </x:c>
      <x:c r="J21" s="14" t="str">
        <x:v>未確認</x:v>
      </x:c>
      <x:c r="K21" s="14" t="str">
        <x:v>未確認</x:v>
      </x:c>
      <x:c r="L21" s="14" t="str">
        <x:v>未確認</x:v>
      </x:c>
      <x:c r="M21" s="14" t="str">
        <x:v>未確認</x:v>
      </x:c>
      <x:c r="N21" s="14" t="str">
        <x:v>未確認</x:v>
      </x:c>
      <x:c r="O21" s="14" t="str">
        <x:v>未確認</x:v>
      </x:c>
      <x:c r="P21" s="14" t="str">
        <x:v>未確認</x:v>
      </x:c>
      <x:c r="Q21" s="14" t="str">
        <x:v>未確認</x:v>
      </x:c>
      <x:c r="R21" s="14" t="str">
        <x:v>未確認</x:v>
      </x:c>
      <x:c r="S21" s="14" t="str">
        <x:v>未確認</x:v>
      </x:c>
      <x:c r="T21" s="15" t="str">
        <x:v>未確認</x:v>
      </x:c>
    </x:row>
    <x:row r="22">
      <x:c r="A22" s="20" t="s">
        <x:v>108</x:v>
      </x:c>
      <x:c r="B22" s="14" t="s">
        <x:v>109</x:v>
      </x:c>
      <x:c r="C22" s="14"/>
      <x:c r="D22" s="14" t="s">
        <x:v>49</x:v>
      </x:c>
      <x:c r="E22" s="14" t="s">
        <x:v>49</x:v>
      </x:c>
      <x:c r="F22" s="14" t="s">
        <x:v>49</x:v>
      </x:c>
      <x:c r="G22" s="14" t="s">
        <x:v>49</x:v>
      </x:c>
      <x:c r="H22" s="14" t="s">
        <x:v>49</x:v>
      </x:c>
      <x:c r="I22" s="14" t="s">
        <x:v>49</x:v>
      </x:c>
      <x:c r="J22" s="14" t="s">
        <x:v>49</x:v>
      </x:c>
      <x:c r="K22" s="14" t="s">
        <x:v>49</x:v>
      </x:c>
      <x:c r="L22" s="14" t="s">
        <x:v>49</x:v>
      </x:c>
      <x:c r="M22" s="14" t="s">
        <x:v>49</x:v>
      </x:c>
      <x:c r="N22" s="14" t="s">
        <x:v>49</x:v>
      </x:c>
      <x:c r="O22" s="14" t="s">
        <x:v>49</x:v>
      </x:c>
      <x:c r="P22" s="14" t="s">
        <x:v>49</x:v>
      </x:c>
      <x:c r="Q22" s="14" t="s">
        <x:v>49</x:v>
      </x:c>
      <x:c r="R22" s="14" t="s">
        <x:v>49</x:v>
      </x:c>
      <x:c r="S22" s="14" t="s">
        <x:v>49</x:v>
      </x:c>
      <x:c r="T22" s="15" t="s">
        <x:v>49</x:v>
      </x:c>
    </x:row>
    <x:row r="23">
      <x:c r="A23" s="20" t="s">
        <x:v>110</x:v>
      </x:c>
      <x:c r="B23" s="14" t="s">
        <x:v>109</x:v>
      </x:c>
      <x:c r="C23" s="14"/>
      <x:c r="D23" s="14" t="s">
        <x:v>49</x:v>
      </x:c>
      <x:c r="E23" s="14" t="s">
        <x:v>49</x:v>
      </x:c>
      <x:c r="F23" s="14" t="s">
        <x:v>49</x:v>
      </x:c>
      <x:c r="G23" s="14" t="s">
        <x:v>49</x:v>
      </x:c>
      <x:c r="H23" s="14" t="s">
        <x:v>49</x:v>
      </x:c>
      <x:c r="I23" s="14" t="s">
        <x:v>49</x:v>
      </x:c>
      <x:c r="J23" s="14" t="s">
        <x:v>49</x:v>
      </x:c>
      <x:c r="K23" s="14" t="s">
        <x:v>49</x:v>
      </x:c>
      <x:c r="L23" s="14" t="s">
        <x:v>49</x:v>
      </x:c>
      <x:c r="M23" s="14" t="s">
        <x:v>49</x:v>
      </x:c>
      <x:c r="N23" s="14" t="s">
        <x:v>49</x:v>
      </x:c>
      <x:c r="O23" s="14" t="s">
        <x:v>49</x:v>
      </x:c>
      <x:c r="P23" s="14" t="s">
        <x:v>49</x:v>
      </x:c>
      <x:c r="Q23" s="14" t="s">
        <x:v>49</x:v>
      </x:c>
      <x:c r="R23" s="14" t="s">
        <x:v>49</x:v>
      </x:c>
      <x:c r="S23" s="14" t="s">
        <x:v>49</x:v>
      </x:c>
      <x:c r="T23" s="15" t="s">
        <x:v>49</x:v>
      </x:c>
    </x:row>
    <x:row r="24">
      <x:c r="A24" s="21" t="s">
        <x:v>111</x:v>
      </x:c>
      <x:c r="B24" s="17" t="s">
        <x:v>109</x:v>
      </x:c>
      <x:c r="C24" s="17"/>
      <x:c r="D24" s="17" t="s">
        <x:v>49</x:v>
      </x:c>
      <x:c r="E24" s="17" t="s">
        <x:v>49</x:v>
      </x:c>
      <x:c r="F24" s="17" t="s">
        <x:v>49</x:v>
      </x:c>
      <x:c r="G24" s="17" t="s">
        <x:v>49</x:v>
      </x:c>
      <x:c r="H24" s="17" t="s">
        <x:v>49</x:v>
      </x:c>
      <x:c r="I24" s="17" t="s">
        <x:v>49</x:v>
      </x:c>
      <x:c r="J24" s="17" t="s">
        <x:v>49</x:v>
      </x:c>
      <x:c r="K24" s="17" t="s">
        <x:v>49</x:v>
      </x:c>
      <x:c r="L24" s="17" t="s">
        <x:v>49</x:v>
      </x:c>
      <x:c r="M24" s="17" t="s">
        <x:v>49</x:v>
      </x:c>
      <x:c r="N24" s="17" t="s">
        <x:v>49</x:v>
      </x:c>
      <x:c r="O24" s="17" t="s">
        <x:v>49</x:v>
      </x:c>
      <x:c r="P24" s="17" t="s">
        <x:v>49</x:v>
      </x:c>
      <x:c r="Q24" s="17" t="s">
        <x:v>49</x:v>
      </x:c>
      <x:c r="R24" s="17" t="s">
        <x:v>49</x:v>
      </x:c>
      <x:c r="S24" s="17" t="s">
        <x:v>49</x:v>
      </x:c>
      <x:c r="T24" s="18" t="s">
        <x:v>49</x:v>
      </x:c>
    </x:row>
  </x:sheetData>
  <x:mergeCells>
    <x:mergeCell ref="A1:T1"/>
  </x:mergeCells>
  <x:conditionalFormatting sqref="S5:S24">
    <x:cfRule type="containsText" dxfId="7" priority="1" operator="containsText" text="合格"/>
    <x:cfRule type="containsText" dxfId="6" priority="2" operator="containsText" text="要修正"/>
    <x:cfRule type="containsText" dxfId="5" priority="3" operator="containsText" text="未確認"/>
  </x:conditionalFormatting>
  <x:dataValidations count="1">
    <x:dataValidation type="list" sqref="S5:S24 D5:Q24">
      <x:formula1>"未確認,合格,要修正"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0" customWidth="1"/>
    <x:col min="2" max="2" width="24" customWidth="1"/>
    <x:col min="3" max="3" width="30" customWidth="1"/>
    <x:col min="4" max="5" width="24" customWidth="1"/>
    <x:col min="6" max="6" width="34" customWidth="1"/>
    <x:col min="7" max="7" width="26" customWidth="1"/>
    <x:col min="8" max="8" width="14" customWidth="1"/>
    <x:col min="9" max="9" width="10" customWidth="1"/>
    <x:col min="10" max="10" width="12" customWidth="1"/>
    <x:col min="11" max="11" width="24" customWidth="1"/>
  </x:cols>
  <x:sheetData>
    <x:row r="1" ht="30" customHeight="1">
      <x:c r="A1" s="27" t="s">
        <x:v>112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3">
      <x:c r="A3" s="30" t="s">
        <x:v>113</x:v>
      </x:c>
      <x:c r="B3" s="30" t="s">
        <x:v>113</x:v>
      </x:c>
      <x:c r="C3" s="30" t="s">
        <x:v>113</x:v>
      </x:c>
      <x:c r="D3" s="30" t="s">
        <x:v>113</x:v>
      </x:c>
      <x:c r="E3" s="30" t="s">
        <x:v>113</x:v>
      </x:c>
      <x:c r="F3" s="30" t="s">
        <x:v>113</x:v>
      </x:c>
      <x:c r="G3" s="30" t="s">
        <x:v>113</x:v>
      </x:c>
      <x:c r="H3" s="30" t="s">
        <x:v>113</x:v>
      </x:c>
      <x:c r="I3" s="30" t="s">
        <x:v>113</x:v>
      </x:c>
      <x:c r="J3" s="30" t="s">
        <x:v>113</x:v>
      </x:c>
      <x:c r="K3" s="30" t="s">
        <x:v>113</x:v>
      </x:c>
    </x:row>
    <x:row r="4" ht="27.600000381469727">
      <x:c r="A4" s="7" t="s">
        <x:v>114</x:v>
      </x:c>
      <x:c r="B4" s="8" t="s">
        <x:v>115</x:v>
      </x:c>
      <x:c r="C4" s="8" t="s">
        <x:v>116</x:v>
      </x:c>
      <x:c r="D4" s="8" t="s">
        <x:v>117</x:v>
      </x:c>
      <x:c r="E4" s="8" t="s">
        <x:v>118</x:v>
      </x:c>
      <x:c r="F4" s="8" t="s">
        <x:v>119</x:v>
      </x:c>
      <x:c r="G4" s="8" t="s">
        <x:v>120</x:v>
      </x:c>
      <x:c r="H4" s="8" t="s">
        <x:v>121</x:v>
      </x:c>
      <x:c r="I4" s="8" t="s">
        <x:v>122</x:v>
      </x:c>
      <x:c r="J4" s="8" t="s">
        <x:v>123</x:v>
      </x:c>
      <x:c r="K4" s="9" t="s">
        <x:v>71</x:v>
      </x:c>
    </x:row>
    <x:row r="5">
      <x:c r="A5" s="10" t="s">
        <x:v>124</x:v>
      </x:c>
      <x:c r="B5" s="11" t="s">
        <x:v>125</x:v>
      </x:c>
      <x:c r="C5" s="11" t="s">
        <x:v>126</x:v>
      </x:c>
      <x:c r="D5" s="11" t="s">
        <x:v>127</x:v>
      </x:c>
      <x:c r="E5" s="11" t="s">
        <x:v>128</x:v>
      </x:c>
      <x:c r="F5" s="11" t="s">
        <x:v>129</x:v>
      </x:c>
      <x:c r="G5" s="11" t="s">
        <x:v>130</x:v>
      </x:c>
      <x:c r="H5" s="11" t="s">
        <x:v>131</x:v>
      </x:c>
      <x:c r="I5" s="11" t="s">
        <x:v>132</x:v>
      </x:c>
      <x:c r="J5" s="11">
        <x:v>1</x:v>
      </x:c>
      <x:c r="K5" s="12"/>
    </x:row>
    <x:row r="6" ht="41.400001525878906">
      <x:c r="A6" s="13" t="s">
        <x:v>133</x:v>
      </x:c>
      <x:c r="B6" s="14" t="s">
        <x:v>134</x:v>
      </x:c>
      <x:c r="C6" s="14" t="s">
        <x:v>135</x:v>
      </x:c>
      <x:c r="D6" s="14" t="s">
        <x:v>136</x:v>
      </x:c>
      <x:c r="E6" s="14" t="s">
        <x:v>137</x:v>
      </x:c>
      <x:c r="F6" s="14" t="s">
        <x:v>138</x:v>
      </x:c>
      <x:c r="G6" s="14" t="s">
        <x:v>139</x:v>
      </x:c>
      <x:c r="H6" s="14" t="s">
        <x:v>131</x:v>
      </x:c>
      <x:c r="I6" s="14" t="s">
        <x:v>132</x:v>
      </x:c>
      <x:c r="J6" s="14">
        <x:v>1</x:v>
      </x:c>
      <x:c r="K6" s="15" t="s">
        <x:v>140</x:v>
      </x:c>
    </x:row>
    <x:row r="7">
      <x:c r="A7" s="13" t="s">
        <x:v>141</x:v>
      </x:c>
      <x:c r="B7" s="14" t="s">
        <x:v>142</x:v>
      </x:c>
      <x:c r="C7" s="14" t="s">
        <x:v>143</x:v>
      </x:c>
      <x:c r="D7" s="14" t="s">
        <x:v>144</x:v>
      </x:c>
      <x:c r="E7" s="14" t="s">
        <x:v>145</x:v>
      </x:c>
      <x:c r="F7" s="14" t="s">
        <x:v>146</x:v>
      </x:c>
      <x:c r="G7" s="14" t="s">
        <x:v>147</x:v>
      </x:c>
      <x:c r="H7" s="14" t="s">
        <x:v>131</x:v>
      </x:c>
      <x:c r="I7" s="14" t="s">
        <x:v>148</x:v>
      </x:c>
      <x:c r="J7" s="14">
        <x:v>3</x:v>
      </x:c>
      <x:c r="K7" s="15"/>
    </x:row>
    <x:row r="8">
      <x:c r="A8" s="13" t="s">
        <x:v>149</x:v>
      </x:c>
      <x:c r="B8" s="14" t="s">
        <x:v>150</x:v>
      </x:c>
      <x:c r="C8" s="14" t="s">
        <x:v>151</x:v>
      </x:c>
      <x:c r="D8" s="14" t="s">
        <x:v>152</x:v>
      </x:c>
      <x:c r="E8" s="14" t="s">
        <x:v>153</x:v>
      </x:c>
      <x:c r="F8" s="14" t="s">
        <x:v>154</x:v>
      </x:c>
      <x:c r="G8" s="14" t="s">
        <x:v>155</x:v>
      </x:c>
      <x:c r="H8" s="14" t="s">
        <x:v>148</x:v>
      </x:c>
      <x:c r="I8" s="14" t="s">
        <x:v>132</x:v>
      </x:c>
      <x:c r="J8" s="14">
        <x:v>3</x:v>
      </x:c>
      <x:c r="K8" s="15"/>
    </x:row>
    <x:row r="9">
      <x:c r="A9" s="13" t="s">
        <x:v>156</x:v>
      </x:c>
      <x:c r="B9" s="14" t="s">
        <x:v>157</x:v>
      </x:c>
      <x:c r="C9" s="14" t="s">
        <x:v>158</x:v>
      </x:c>
      <x:c r="D9" s="14" t="s">
        <x:v>159</x:v>
      </x:c>
      <x:c r="E9" s="14" t="s">
        <x:v>160</x:v>
      </x:c>
      <x:c r="F9" s="14" t="s">
        <x:v>161</x:v>
      </x:c>
      <x:c r="G9" s="14" t="s">
        <x:v>162</x:v>
      </x:c>
      <x:c r="H9" s="14" t="s">
        <x:v>148</x:v>
      </x:c>
      <x:c r="I9" s="14" t="s">
        <x:v>148</x:v>
      </x:c>
      <x:c r="J9" s="14">
        <x:v>3</x:v>
      </x:c>
      <x:c r="K9" s="15"/>
    </x:row>
    <x:row r="10">
      <x:c r="A10" s="13" t="s">
        <x:v>163</x:v>
      </x:c>
      <x:c r="B10" s="14" t="s">
        <x:v>164</x:v>
      </x:c>
      <x:c r="C10" s="14" t="s">
        <x:v>165</x:v>
      </x:c>
      <x:c r="D10" s="14" t="s">
        <x:v>166</x:v>
      </x:c>
      <x:c r="E10" s="14" t="s">
        <x:v>160</x:v>
      </x:c>
      <x:c r="F10" s="14" t="s">
        <x:v>167</x:v>
      </x:c>
      <x:c r="G10" s="14" t="s">
        <x:v>168</x:v>
      </x:c>
      <x:c r="H10" s="14" t="s">
        <x:v>131</x:v>
      </x:c>
      <x:c r="I10" s="14" t="s">
        <x:v>132</x:v>
      </x:c>
      <x:c r="J10" s="14">
        <x:v>3</x:v>
      </x:c>
      <x:c r="K10" s="15"/>
    </x:row>
    <x:row r="11">
      <x:c r="A11" s="13" t="s">
        <x:v>169</x:v>
      </x:c>
      <x:c r="B11" s="14" t="s">
        <x:v>170</x:v>
      </x:c>
      <x:c r="C11" s="14" t="s">
        <x:v>171</x:v>
      </x:c>
      <x:c r="D11" s="14" t="s">
        <x:v>172</x:v>
      </x:c>
      <x:c r="E11" s="14" t="s">
        <x:v>173</x:v>
      </x:c>
      <x:c r="F11" s="14" t="s">
        <x:v>174</x:v>
      </x:c>
      <x:c r="G11" s="14" t="s">
        <x:v>175</x:v>
      </x:c>
      <x:c r="H11" s="14" t="s">
        <x:v>131</x:v>
      </x:c>
      <x:c r="I11" s="14" t="s">
        <x:v>148</x:v>
      </x:c>
      <x:c r="J11" s="14">
        <x:v>2</x:v>
      </x:c>
      <x:c r="K11" s="15" t="s">
        <x:v>176</x:v>
      </x:c>
    </x:row>
    <x:row r="12">
      <x:c r="A12" s="13" t="s">
        <x:v>177</x:v>
      </x:c>
      <x:c r="B12" s="14" t="s">
        <x:v>178</x:v>
      </x:c>
      <x:c r="C12" s="14" t="s">
        <x:v>179</x:v>
      </x:c>
      <x:c r="D12" s="14" t="s">
        <x:v>180</x:v>
      </x:c>
      <x:c r="E12" s="14" t="s">
        <x:v>181</x:v>
      </x:c>
      <x:c r="F12" s="14" t="s">
        <x:v>182</x:v>
      </x:c>
      <x:c r="G12" s="14" t="s">
        <x:v>183</x:v>
      </x:c>
      <x:c r="H12" s="14" t="s">
        <x:v>148</x:v>
      </x:c>
      <x:c r="I12" s="14" t="s">
        <x:v>132</x:v>
      </x:c>
      <x:c r="J12" s="14">
        <x:v>1</x:v>
      </x:c>
      <x:c r="K12" s="15"/>
    </x:row>
    <x:row r="13">
      <x:c r="A13" s="13" t="s">
        <x:v>184</x:v>
      </x:c>
      <x:c r="B13" s="14" t="s">
        <x:v>185</x:v>
      </x:c>
      <x:c r="C13" s="14" t="s">
        <x:v>186</x:v>
      </x:c>
      <x:c r="D13" s="14" t="s">
        <x:v>187</x:v>
      </x:c>
      <x:c r="E13" s="14" t="s">
        <x:v>188</x:v>
      </x:c>
      <x:c r="F13" s="14" t="s">
        <x:v>189</x:v>
      </x:c>
      <x:c r="G13" s="14" t="s">
        <x:v>190</x:v>
      </x:c>
      <x:c r="H13" s="14" t="s">
        <x:v>131</x:v>
      </x:c>
      <x:c r="I13" s="14" t="s">
        <x:v>148</x:v>
      </x:c>
      <x:c r="J13" s="14">
        <x:v>1</x:v>
      </x:c>
      <x:c r="K13" s="15"/>
    </x:row>
    <x:row r="14">
      <x:c r="A14" s="16" t="s">
        <x:v>191</x:v>
      </x:c>
      <x:c r="B14" s="17" t="s">
        <x:v>192</x:v>
      </x:c>
      <x:c r="C14" s="17" t="s">
        <x:v>193</x:v>
      </x:c>
      <x:c r="D14" s="17" t="s">
        <x:v>194</x:v>
      </x:c>
      <x:c r="E14" s="17" t="s">
        <x:v>195</x:v>
      </x:c>
      <x:c r="F14" s="17" t="s">
        <x:v>196</x:v>
      </x:c>
      <x:c r="G14" s="17" t="s">
        <x:v>197</x:v>
      </x:c>
      <x:c r="H14" s="17" t="s">
        <x:v>148</x:v>
      </x:c>
      <x:c r="I14" s="17" t="s">
        <x:v>148</x:v>
      </x:c>
      <x:c r="J14" s="17">
        <x:v>1</x:v>
      </x:c>
      <x:c r="K14" s="18" t="s">
        <x:v>198</x:v>
      </x:c>
    </x:row>
  </x:sheetData>
  <x:mergeCells>
    <x:mergeCell ref="A1:K1"/>
    <x:mergeCell ref="A3:K3"/>
  </x:mergeCells>
  <x:conditionalFormatting sqref="J5:J14">
    <x:cfRule type="cellIs" dxfId="4" priority="1" operator="equal">
      <x:formula>1</x:formula>
    </x:cfRule>
    <x:cfRule type="cellIs" dxfId="3" priority="2" operator="equal">
      <x:formula>3</x:formula>
    </x:cfRule>
    <x:cfRule type="cellIs" dxfId="2" priority="3" operator="equal">
      <x:formula>2</x:formula>
    </x:cfRule>
  </x:conditionalFormatting>
  <x:dataValidations count="1">
    <x:dataValidation type="list" sqref="J5:J14">
      <x:formula1>"1,2,3"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3" customWidth="1"/>
    <x:col min="2" max="2" width="12" customWidth="1"/>
    <x:col min="3" max="3" width="40" customWidth="1"/>
    <x:col min="4" max="4" width="10" customWidth="1"/>
    <x:col min="5" max="5" width="40" customWidth="1"/>
    <x:col min="6" max="6" width="28" customWidth="1"/>
    <x:col min="7" max="7" width="14" customWidth="1"/>
    <x:col min="8" max="8" width="16" customWidth="1"/>
    <x:col min="9" max="9" width="42" customWidth="1"/>
    <x:col min="10" max="10" width="24" customWidth="1"/>
  </x:cols>
  <x:sheetData>
    <x:row r="1" ht="30" customHeight="1">
      <x:c r="A1" s="27" t="s">
        <x:v>199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4">
      <x:c r="A4" s="7" t="s">
        <x:v>200</x:v>
      </x:c>
      <x:c r="B4" s="8" t="s">
        <x:v>201</x:v>
      </x:c>
      <x:c r="C4" s="8" t="s">
        <x:v>202</x:v>
      </x:c>
      <x:c r="D4" s="8" t="s">
        <x:v>203</x:v>
      </x:c>
      <x:c r="E4" s="8" t="s">
        <x:v>204</x:v>
      </x:c>
      <x:c r="F4" s="8" t="s">
        <x:v>205</x:v>
      </x:c>
      <x:c r="G4" s="8" t="s">
        <x:v>206</x:v>
      </x:c>
      <x:c r="H4" s="8" t="s">
        <x:v>207</x:v>
      </x:c>
      <x:c r="I4" s="8" t="s">
        <x:v>208</x:v>
      </x:c>
      <x:c r="J4" s="9" t="s">
        <x:v>71</x:v>
      </x:c>
    </x:row>
    <x:row r="5">
      <x:c r="A5" s="24"/>
      <x:c r="B5" s="11"/>
      <x:c r="C5" s="11"/>
      <x:c r="D5" s="11" t="s">
        <x:v>148</x:v>
      </x:c>
      <x:c r="E5" s="11"/>
      <x:c r="F5" s="11"/>
      <x:c r="G5" s="11"/>
      <x:c r="H5" s="11" t="s">
        <x:v>209</x:v>
      </x:c>
      <x:c r="I5" s="11"/>
      <x:c r="J5" s="12"/>
    </x:row>
    <x:row r="6">
      <x:c r="A6" s="25"/>
      <x:c r="B6" s="14"/>
      <x:c r="C6" s="14"/>
      <x:c r="D6" s="14" t="s">
        <x:v>148</x:v>
      </x:c>
      <x:c r="E6" s="14"/>
      <x:c r="F6" s="14"/>
      <x:c r="G6" s="14"/>
      <x:c r="H6" s="14" t="s">
        <x:v>209</x:v>
      </x:c>
      <x:c r="I6" s="14"/>
      <x:c r="J6" s="15"/>
    </x:row>
    <x:row r="7">
      <x:c r="A7" s="25"/>
      <x:c r="B7" s="14"/>
      <x:c r="C7" s="14"/>
      <x:c r="D7" s="14" t="s">
        <x:v>148</x:v>
      </x:c>
      <x:c r="E7" s="14"/>
      <x:c r="F7" s="14"/>
      <x:c r="G7" s="14"/>
      <x:c r="H7" s="14" t="s">
        <x:v>209</x:v>
      </x:c>
      <x:c r="I7" s="14"/>
      <x:c r="J7" s="15"/>
    </x:row>
    <x:row r="8">
      <x:c r="A8" s="25"/>
      <x:c r="B8" s="14"/>
      <x:c r="C8" s="14"/>
      <x:c r="D8" s="14" t="s">
        <x:v>148</x:v>
      </x:c>
      <x:c r="E8" s="14"/>
      <x:c r="F8" s="14"/>
      <x:c r="G8" s="14"/>
      <x:c r="H8" s="14" t="s">
        <x:v>209</x:v>
      </x:c>
      <x:c r="I8" s="14"/>
      <x:c r="J8" s="15"/>
    </x:row>
    <x:row r="9">
      <x:c r="A9" s="25"/>
      <x:c r="B9" s="14"/>
      <x:c r="C9" s="14"/>
      <x:c r="D9" s="14" t="s">
        <x:v>148</x:v>
      </x:c>
      <x:c r="E9" s="14"/>
      <x:c r="F9" s="14"/>
      <x:c r="G9" s="14"/>
      <x:c r="H9" s="14" t="s">
        <x:v>209</x:v>
      </x:c>
      <x:c r="I9" s="14"/>
      <x:c r="J9" s="15"/>
    </x:row>
    <x:row r="10">
      <x:c r="A10" s="25"/>
      <x:c r="B10" s="14"/>
      <x:c r="C10" s="14"/>
      <x:c r="D10" s="14" t="s">
        <x:v>148</x:v>
      </x:c>
      <x:c r="E10" s="14"/>
      <x:c r="F10" s="14"/>
      <x:c r="G10" s="14"/>
      <x:c r="H10" s="14" t="s">
        <x:v>209</x:v>
      </x:c>
      <x:c r="I10" s="14"/>
      <x:c r="J10" s="15"/>
    </x:row>
    <x:row r="11">
      <x:c r="A11" s="25"/>
      <x:c r="B11" s="14"/>
      <x:c r="C11" s="14"/>
      <x:c r="D11" s="14" t="s">
        <x:v>148</x:v>
      </x:c>
      <x:c r="E11" s="14"/>
      <x:c r="F11" s="14"/>
      <x:c r="G11" s="14"/>
      <x:c r="H11" s="14" t="s">
        <x:v>209</x:v>
      </x:c>
      <x:c r="I11" s="14"/>
      <x:c r="J11" s="15"/>
    </x:row>
    <x:row r="12">
      <x:c r="A12" s="25"/>
      <x:c r="B12" s="14"/>
      <x:c r="C12" s="14"/>
      <x:c r="D12" s="14" t="s">
        <x:v>148</x:v>
      </x:c>
      <x:c r="E12" s="14"/>
      <x:c r="F12" s="14"/>
      <x:c r="G12" s="14"/>
      <x:c r="H12" s="14" t="s">
        <x:v>209</x:v>
      </x:c>
      <x:c r="I12" s="14"/>
      <x:c r="J12" s="15"/>
    </x:row>
    <x:row r="13">
      <x:c r="A13" s="25"/>
      <x:c r="B13" s="14"/>
      <x:c r="C13" s="14"/>
      <x:c r="D13" s="14" t="s">
        <x:v>148</x:v>
      </x:c>
      <x:c r="E13" s="14"/>
      <x:c r="F13" s="14"/>
      <x:c r="G13" s="14"/>
      <x:c r="H13" s="14" t="s">
        <x:v>209</x:v>
      </x:c>
      <x:c r="I13" s="14"/>
      <x:c r="J13" s="15"/>
    </x:row>
    <x:row r="14">
      <x:c r="A14" s="25"/>
      <x:c r="B14" s="14"/>
      <x:c r="C14" s="14"/>
      <x:c r="D14" s="14" t="s">
        <x:v>148</x:v>
      </x:c>
      <x:c r="E14" s="14"/>
      <x:c r="F14" s="14"/>
      <x:c r="G14" s="14"/>
      <x:c r="H14" s="14" t="s">
        <x:v>209</x:v>
      </x:c>
      <x:c r="I14" s="14"/>
      <x:c r="J14" s="15"/>
    </x:row>
    <x:row r="15">
      <x:c r="A15" s="25"/>
      <x:c r="B15" s="14"/>
      <x:c r="C15" s="14"/>
      <x:c r="D15" s="14" t="s">
        <x:v>148</x:v>
      </x:c>
      <x:c r="E15" s="14"/>
      <x:c r="F15" s="14"/>
      <x:c r="G15" s="14"/>
      <x:c r="H15" s="14" t="s">
        <x:v>209</x:v>
      </x:c>
      <x:c r="I15" s="14"/>
      <x:c r="J15" s="15"/>
    </x:row>
    <x:row r="16">
      <x:c r="A16" s="25"/>
      <x:c r="B16" s="14"/>
      <x:c r="C16" s="14"/>
      <x:c r="D16" s="14" t="s">
        <x:v>148</x:v>
      </x:c>
      <x:c r="E16" s="14"/>
      <x:c r="F16" s="14"/>
      <x:c r="G16" s="14"/>
      <x:c r="H16" s="14" t="s">
        <x:v>209</x:v>
      </x:c>
      <x:c r="I16" s="14"/>
      <x:c r="J16" s="15"/>
    </x:row>
    <x:row r="17">
      <x:c r="A17" s="25"/>
      <x:c r="B17" s="14"/>
      <x:c r="C17" s="14"/>
      <x:c r="D17" s="14" t="s">
        <x:v>148</x:v>
      </x:c>
      <x:c r="E17" s="14"/>
      <x:c r="F17" s="14"/>
      <x:c r="G17" s="14"/>
      <x:c r="H17" s="14" t="s">
        <x:v>209</x:v>
      </x:c>
      <x:c r="I17" s="14"/>
      <x:c r="J17" s="15"/>
    </x:row>
    <x:row r="18">
      <x:c r="A18" s="25"/>
      <x:c r="B18" s="14"/>
      <x:c r="C18" s="14"/>
      <x:c r="D18" s="14" t="s">
        <x:v>148</x:v>
      </x:c>
      <x:c r="E18" s="14"/>
      <x:c r="F18" s="14"/>
      <x:c r="G18" s="14"/>
      <x:c r="H18" s="14" t="s">
        <x:v>209</x:v>
      </x:c>
      <x:c r="I18" s="14"/>
      <x:c r="J18" s="15"/>
    </x:row>
    <x:row r="19">
      <x:c r="A19" s="25"/>
      <x:c r="B19" s="14"/>
      <x:c r="C19" s="14"/>
      <x:c r="D19" s="14" t="s">
        <x:v>148</x:v>
      </x:c>
      <x:c r="E19" s="14"/>
      <x:c r="F19" s="14"/>
      <x:c r="G19" s="14"/>
      <x:c r="H19" s="14" t="s">
        <x:v>209</x:v>
      </x:c>
      <x:c r="I19" s="14"/>
      <x:c r="J19" s="15"/>
    </x:row>
    <x:row r="20">
      <x:c r="A20" s="25"/>
      <x:c r="B20" s="14"/>
      <x:c r="C20" s="14"/>
      <x:c r="D20" s="14" t="s">
        <x:v>148</x:v>
      </x:c>
      <x:c r="E20" s="14"/>
      <x:c r="F20" s="14"/>
      <x:c r="G20" s="14"/>
      <x:c r="H20" s="14" t="s">
        <x:v>209</x:v>
      </x:c>
      <x:c r="I20" s="14"/>
      <x:c r="J20" s="15"/>
    </x:row>
    <x:row r="21">
      <x:c r="A21" s="25"/>
      <x:c r="B21" s="14"/>
      <x:c r="C21" s="14"/>
      <x:c r="D21" s="14" t="s">
        <x:v>148</x:v>
      </x:c>
      <x:c r="E21" s="14"/>
      <x:c r="F21" s="14"/>
      <x:c r="G21" s="14"/>
      <x:c r="H21" s="14" t="s">
        <x:v>209</x:v>
      </x:c>
      <x:c r="I21" s="14"/>
      <x:c r="J21" s="15"/>
    </x:row>
    <x:row r="22">
      <x:c r="A22" s="25"/>
      <x:c r="B22" s="14"/>
      <x:c r="C22" s="14"/>
      <x:c r="D22" s="14" t="s">
        <x:v>148</x:v>
      </x:c>
      <x:c r="E22" s="14"/>
      <x:c r="F22" s="14"/>
      <x:c r="G22" s="14"/>
      <x:c r="H22" s="14" t="s">
        <x:v>209</x:v>
      </x:c>
      <x:c r="I22" s="14"/>
      <x:c r="J22" s="15"/>
    </x:row>
    <x:row r="23">
      <x:c r="A23" s="25"/>
      <x:c r="B23" s="14"/>
      <x:c r="C23" s="14"/>
      <x:c r="D23" s="14" t="s">
        <x:v>148</x:v>
      </x:c>
      <x:c r="E23" s="14"/>
      <x:c r="F23" s="14"/>
      <x:c r="G23" s="14"/>
      <x:c r="H23" s="14" t="s">
        <x:v>209</x:v>
      </x:c>
      <x:c r="I23" s="14"/>
      <x:c r="J23" s="15"/>
    </x:row>
    <x:row r="24">
      <x:c r="A24" s="26"/>
      <x:c r="B24" s="17"/>
      <x:c r="C24" s="17"/>
      <x:c r="D24" s="17" t="s">
        <x:v>148</x:v>
      </x:c>
      <x:c r="E24" s="17"/>
      <x:c r="F24" s="17"/>
      <x:c r="G24" s="17"/>
      <x:c r="H24" s="17" t="s">
        <x:v>209</x:v>
      </x:c>
      <x:c r="I24" s="17"/>
      <x:c r="J24" s="18"/>
    </x:row>
  </x:sheetData>
  <x:mergeCells>
    <x:mergeCell ref="A1:J1"/>
  </x:mergeCells>
  <x:conditionalFormatting sqref="D5:D24">
    <x:cfRule type="containsText" dxfId="1" priority="2" operator="containsText" text="高"/>
  </x:conditionalFormatting>
  <x:conditionalFormatting sqref="H5:H24">
    <x:cfRule type="containsText" dxfId="0" priority="1" operator="containsText" text="再テスト済み"/>
  </x:conditionalFormatting>
  <x:dataValidations count="2">
    <x:dataValidation type="list" sqref="D5:D24">
      <x:formula1>"高,中,低"</x:formula1>
    </x:dataValidation>
    <x:dataValidation type="list" sqref="H5:H24">
      <x:formula1>"未対応,修正済み,再テスト済み,保留"</x:formula1>
    </x:dataValidation>
  </x:dataValidations>
  <x:pageMargins left="0.7" right="0.7" top="0.75" bottom="0.75" header="0.3" footer="0.3"/>
</x:worksheet>
</file>